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ai.Nguyen\Documents\DATABASES\Master's Degree Materials\2. Working\2026018 Third Paper (MPCE)\Calculation\"/>
    </mc:Choice>
  </mc:AlternateContent>
  <xr:revisionPtr revIDLastSave="0" documentId="13_ncr:1_{F973531A-2EBA-4A66-A28E-E229F18CDE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7" r:id="rId1"/>
    <sheet name="README" sheetId="1" r:id="rId2"/>
    <sheet name="1_Charger_Configs" sheetId="2" r:id="rId3"/>
    <sheet name="2_EVCS_Loads" sheetId="3" r:id="rId4"/>
    <sheet name="3_Scenarios" sheetId="4" r:id="rId5"/>
    <sheet name="4_PowerWorld_Inputs" sheetId="5" r:id="rId6"/>
    <sheet name="5_Results_Templat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8" i="5" l="1"/>
  <c r="O16" i="5"/>
  <c r="E16" i="5"/>
  <c r="S13" i="5"/>
  <c r="O12" i="5"/>
  <c r="S9" i="5"/>
  <c r="O8" i="5"/>
  <c r="O7" i="5"/>
  <c r="H21" i="3"/>
  <c r="K21" i="3" s="1"/>
  <c r="L21" i="3" s="1"/>
  <c r="F21" i="3"/>
  <c r="S10" i="5" s="1"/>
  <c r="D21" i="3"/>
  <c r="S15" i="5" s="1"/>
  <c r="H20" i="3"/>
  <c r="Q17" i="5" s="1"/>
  <c r="F20" i="3"/>
  <c r="Q16" i="5" s="1"/>
  <c r="D20" i="3"/>
  <c r="E20" i="3" s="1"/>
  <c r="H19" i="3"/>
  <c r="O14" i="5" s="1"/>
  <c r="F19" i="3"/>
  <c r="O19" i="5" s="1"/>
  <c r="D19" i="3"/>
  <c r="O9" i="5" s="1"/>
  <c r="H18" i="3"/>
  <c r="M14" i="5" s="1"/>
  <c r="F18" i="3"/>
  <c r="M10" i="5" s="1"/>
  <c r="D18" i="3"/>
  <c r="M12" i="5" s="1"/>
  <c r="H17" i="3"/>
  <c r="I17" i="3" s="1"/>
  <c r="F17" i="3"/>
  <c r="K13" i="5" s="1"/>
  <c r="D17" i="3"/>
  <c r="K18" i="5" s="1"/>
  <c r="H16" i="3"/>
  <c r="K16" i="3" s="1"/>
  <c r="L16" i="3" s="1"/>
  <c r="F16" i="3"/>
  <c r="I10" i="5" s="1"/>
  <c r="D16" i="3"/>
  <c r="I15" i="5" s="1"/>
  <c r="H15" i="3"/>
  <c r="K15" i="3" s="1"/>
  <c r="L15" i="3" s="1"/>
  <c r="F15" i="3"/>
  <c r="G10" i="5" s="1"/>
  <c r="D15" i="3"/>
  <c r="E15" i="3" s="1"/>
  <c r="H14" i="3"/>
  <c r="K14" i="3" s="1"/>
  <c r="L14" i="3" s="1"/>
  <c r="F14" i="3"/>
  <c r="E7" i="5" s="1"/>
  <c r="D14" i="3"/>
  <c r="E12" i="5" s="1"/>
  <c r="L13" i="2"/>
  <c r="K13" i="2"/>
  <c r="J13" i="2"/>
  <c r="I13" i="2"/>
  <c r="H13" i="2"/>
  <c r="G13" i="2"/>
  <c r="F13" i="2"/>
  <c r="E13" i="2"/>
  <c r="D13" i="2"/>
  <c r="E20" i="5" l="1"/>
  <c r="E8" i="5"/>
  <c r="K17" i="5"/>
  <c r="O17" i="5"/>
  <c r="M17" i="5"/>
  <c r="E15" i="5"/>
  <c r="M18" i="5"/>
  <c r="O18" i="5"/>
  <c r="Q6" i="5"/>
  <c r="S14" i="5"/>
  <c r="I7" i="5"/>
  <c r="S8" i="5"/>
  <c r="G9" i="5"/>
  <c r="Q18" i="5"/>
  <c r="K11" i="5"/>
  <c r="O11" i="5"/>
  <c r="S19" i="5"/>
  <c r="G6" i="5"/>
  <c r="I6" i="5"/>
  <c r="G15" i="5"/>
  <c r="I12" i="5"/>
  <c r="Q12" i="5"/>
  <c r="M13" i="5"/>
  <c r="O13" i="5"/>
  <c r="E14" i="5"/>
  <c r="K7" i="5"/>
  <c r="K17" i="3"/>
  <c r="L17" i="3" s="1"/>
  <c r="Q14" i="5"/>
  <c r="E9" i="5"/>
  <c r="I20" i="5"/>
  <c r="K20" i="5"/>
  <c r="K12" i="5"/>
  <c r="M8" i="5"/>
  <c r="E19" i="5"/>
  <c r="K15" i="5"/>
  <c r="K6" i="5"/>
  <c r="Q9" i="5"/>
  <c r="M20" i="5"/>
  <c r="I16" i="5"/>
  <c r="H22" i="3"/>
  <c r="K16" i="5"/>
  <c r="G17" i="3"/>
  <c r="E10" i="5"/>
  <c r="K10" i="5"/>
  <c r="E6" i="5"/>
  <c r="E11" i="5"/>
  <c r="I17" i="5"/>
  <c r="I11" i="5"/>
  <c r="H12" i="5"/>
  <c r="H9" i="5"/>
  <c r="H6" i="5"/>
  <c r="H18" i="5"/>
  <c r="H15" i="5"/>
  <c r="L8" i="5"/>
  <c r="L20" i="5"/>
  <c r="L17" i="5"/>
  <c r="L14" i="5"/>
  <c r="L11" i="5"/>
  <c r="R15" i="5"/>
  <c r="R12" i="5"/>
  <c r="R9" i="5"/>
  <c r="R6" i="5"/>
  <c r="R18" i="5"/>
  <c r="G14" i="3"/>
  <c r="D22" i="3"/>
  <c r="S6" i="5"/>
  <c r="G8" i="5"/>
  <c r="K9" i="5"/>
  <c r="O10" i="5"/>
  <c r="S11" i="5"/>
  <c r="G13" i="5"/>
  <c r="K14" i="5"/>
  <c r="O15" i="5"/>
  <c r="S16" i="5"/>
  <c r="G18" i="5"/>
  <c r="K19" i="5"/>
  <c r="O20" i="5"/>
  <c r="Q19" i="5"/>
  <c r="G11" i="5"/>
  <c r="E18" i="3"/>
  <c r="Q8" i="5"/>
  <c r="G18" i="3"/>
  <c r="G20" i="5"/>
  <c r="I18" i="3"/>
  <c r="E21" i="3"/>
  <c r="K18" i="3"/>
  <c r="L18" i="3" s="1"/>
  <c r="M6" i="5"/>
  <c r="M11" i="5"/>
  <c r="M16" i="5"/>
  <c r="G16" i="3"/>
  <c r="G21" i="3"/>
  <c r="O6" i="5"/>
  <c r="S7" i="5"/>
  <c r="S12" i="5"/>
  <c r="S17" i="5"/>
  <c r="G19" i="5"/>
  <c r="E14" i="3"/>
  <c r="I16" i="3"/>
  <c r="E19" i="3"/>
  <c r="I9" i="5"/>
  <c r="Q11" i="5"/>
  <c r="E13" i="5"/>
  <c r="I14" i="5"/>
  <c r="M15" i="5"/>
  <c r="E18" i="5"/>
  <c r="I19" i="5"/>
  <c r="G19" i="3"/>
  <c r="I14" i="3"/>
  <c r="E17" i="3"/>
  <c r="I19" i="3"/>
  <c r="I20" i="3"/>
  <c r="K19" i="3"/>
  <c r="L19" i="3" s="1"/>
  <c r="F22" i="3"/>
  <c r="I8" i="5"/>
  <c r="M9" i="5"/>
  <c r="Q10" i="5"/>
  <c r="I13" i="5"/>
  <c r="Q15" i="5"/>
  <c r="E17" i="5"/>
  <c r="I18" i="5"/>
  <c r="M19" i="5"/>
  <c r="Q20" i="5"/>
  <c r="I15" i="3"/>
  <c r="K20" i="3"/>
  <c r="L20" i="3" s="1"/>
  <c r="G14" i="5"/>
  <c r="G7" i="5"/>
  <c r="K8" i="5"/>
  <c r="G12" i="5"/>
  <c r="G17" i="5"/>
  <c r="S20" i="5"/>
  <c r="G15" i="3"/>
  <c r="G20" i="3"/>
  <c r="G16" i="5"/>
  <c r="M7" i="5"/>
  <c r="Q13" i="5"/>
  <c r="E16" i="3"/>
  <c r="Q7" i="5"/>
  <c r="I21" i="3"/>
  <c r="L13" i="5" l="1"/>
  <c r="L16" i="5"/>
  <c r="L10" i="5"/>
  <c r="L7" i="5"/>
  <c r="L19" i="5"/>
  <c r="H17" i="5"/>
  <c r="H14" i="5"/>
  <c r="H11" i="5"/>
  <c r="H8" i="5"/>
  <c r="H20" i="5"/>
  <c r="N14" i="5"/>
  <c r="N11" i="5"/>
  <c r="N17" i="5"/>
  <c r="N8" i="5"/>
  <c r="N20" i="5"/>
  <c r="P19" i="5"/>
  <c r="P13" i="5"/>
  <c r="P10" i="5"/>
  <c r="P16" i="5"/>
  <c r="P7" i="5"/>
  <c r="N19" i="5"/>
  <c r="N16" i="5"/>
  <c r="N13" i="5"/>
  <c r="N7" i="5"/>
  <c r="N10" i="5"/>
  <c r="T20" i="5"/>
  <c r="T17" i="5"/>
  <c r="T14" i="5"/>
  <c r="T11" i="5"/>
  <c r="T8" i="5"/>
  <c r="J15" i="5"/>
  <c r="J6" i="5"/>
  <c r="J12" i="5"/>
  <c r="J18" i="5"/>
  <c r="J9" i="5"/>
  <c r="T15" i="5"/>
  <c r="T12" i="5"/>
  <c r="T18" i="5"/>
  <c r="T6" i="5"/>
  <c r="T9" i="5"/>
  <c r="N9" i="5"/>
  <c r="N6" i="5"/>
  <c r="N12" i="5"/>
  <c r="N18" i="5"/>
  <c r="N15" i="5"/>
  <c r="I22" i="3"/>
  <c r="F17" i="5"/>
  <c r="F14" i="5"/>
  <c r="F20" i="5"/>
  <c r="F11" i="5"/>
  <c r="F8" i="5"/>
  <c r="F7" i="5"/>
  <c r="G22" i="3"/>
  <c r="F10" i="5"/>
  <c r="F16" i="5"/>
  <c r="F19" i="5"/>
  <c r="F13" i="5"/>
  <c r="P9" i="5"/>
  <c r="P6" i="5"/>
  <c r="P18" i="5"/>
  <c r="P15" i="5"/>
  <c r="P12" i="5"/>
  <c r="J8" i="5"/>
  <c r="J20" i="5"/>
  <c r="J11" i="5"/>
  <c r="J17" i="5"/>
  <c r="J14" i="5"/>
  <c r="F12" i="5"/>
  <c r="F9" i="5"/>
  <c r="F15" i="5"/>
  <c r="F6" i="5"/>
  <c r="E22" i="3"/>
  <c r="F18" i="5"/>
  <c r="R10" i="5"/>
  <c r="R7" i="5"/>
  <c r="R13" i="5"/>
  <c r="R16" i="5"/>
  <c r="R19" i="5"/>
  <c r="H7" i="5"/>
  <c r="H19" i="5"/>
  <c r="H16" i="5"/>
  <c r="H13" i="5"/>
  <c r="H10" i="5"/>
  <c r="R17" i="5"/>
  <c r="R8" i="5"/>
  <c r="R14" i="5"/>
  <c r="R20" i="5"/>
  <c r="R11" i="5"/>
  <c r="T10" i="5"/>
  <c r="T19" i="5"/>
  <c r="T16" i="5"/>
  <c r="T7" i="5"/>
  <c r="T13" i="5"/>
  <c r="P14" i="5"/>
  <c r="P11" i="5"/>
  <c r="P8" i="5"/>
  <c r="P20" i="5"/>
  <c r="P17" i="5"/>
  <c r="J13" i="5"/>
  <c r="J16" i="5"/>
  <c r="J7" i="5"/>
  <c r="J10" i="5"/>
  <c r="J19" i="5"/>
  <c r="L18" i="5"/>
  <c r="L15" i="5"/>
  <c r="L12" i="5"/>
  <c r="L9" i="5"/>
  <c r="L6" i="5"/>
</calcChain>
</file>

<file path=xl/sharedStrings.xml><?xml version="1.0" encoding="utf-8"?>
<sst xmlns="http://schemas.openxmlformats.org/spreadsheetml/2006/main" count="471" uniqueCount="195">
  <si>
    <t>EVCS GRID-IMPACT ANALYSIS — INPUT/OUTPUT WORKBOOK (v2)</t>
  </si>
  <si>
    <t>Khai Nguyen — MPCE Q1 paper  |  PowerWorld-ready MW + Mvar values</t>
  </si>
  <si>
    <t>THAY ĐỔI SO VỚI v1</t>
  </si>
  <si>
    <t>1. Bỏ hệ số dự phòng 1.2 (1.2 chỉ dùng để chọn dung lượng MBA, không phải tải vận hành)</t>
  </si>
  <si>
    <t>2. Thêm cột MW và Mvar — copy thẳng vào dialog Load Options của PowerWorld</t>
  </si>
  <si>
    <t>3. Đã verify với screenshot Bus 2 = 0.499 MW / 0.101 Mvar (cấu hình Hybrid hiện tại)</t>
  </si>
  <si>
    <t>CÔNG THỨC TÍNH</t>
  </si>
  <si>
    <t>MW = (N_11×11×SCF₁₁ + N_60×60×SCF₆₀ + N_150×150×SCF₁₅₀) / 0.98 / 1000</t>
  </si>
  <si>
    <t>Mvar = MW × tan(arccos 0.98) = MW × 0.2031</t>
  </si>
  <si>
    <t>HỆ SỐ SCF (từ Chương 4 luận văn)</t>
  </si>
  <si>
    <t>11 kW (xe máy):    SCF = 0.35</t>
  </si>
  <si>
    <t>60 kW (avg EC/ET):  SCF = 0.345</t>
  </si>
  <si>
    <t>150 kW (xe buýt):  SCF = 0.44</t>
  </si>
  <si>
    <t>cosφ sau bù:        0.98</t>
  </si>
  <si>
    <t>CẤU TRÚC FILE</t>
  </si>
  <si>
    <t>Sheet 1_Charger_Configs</t>
  </si>
  <si>
    <t>Số trụ tại 8 trạm × 3 thuật toán (Bảng 5.6, 5.7, 5.8 luận văn)</t>
  </si>
  <si>
    <t>Sheet 2_EVCS_Loads</t>
  </si>
  <si>
    <t>MW + Mvar tự tính cho 3 thuật toán (kết quả chính)</t>
  </si>
  <si>
    <t>Sheet 3_Scenarios</t>
  </si>
  <si>
    <t>Danh sách 15 trường hợp cần chạy</t>
  </si>
  <si>
    <t>Sheet 4_PowerWorld_Inputs</t>
  </si>
  <si>
    <t>BẢNG QUAN TRỌNG NHẤT — copy từ đây vào PowerWorld</t>
  </si>
  <si>
    <t>Sheet 5_Results_Template</t>
  </si>
  <si>
    <t>Bảng trống ghi V_min, %loading, P_loss sau mỗi lần chạy</t>
  </si>
  <si>
    <t>QUY ƯỚC MÀU</t>
  </si>
  <si>
    <t>Xanh dương nhạt</t>
  </si>
  <si>
    <t>Cột MW (Constant Power)</t>
  </si>
  <si>
    <t>Vàng</t>
  </si>
  <si>
    <t>Cột Mvar (Constant Power)</t>
  </si>
  <si>
    <t>Xanh lá</t>
  </si>
  <si>
    <t>Cấu hình Hybrid base case — đã chạy xong trong luận văn</t>
  </si>
  <si>
    <t>Cam</t>
  </si>
  <si>
    <t>Ô trống cần điền sau khi chạy PowerWorld</t>
  </si>
  <si>
    <t>CÁCH ĐIỀN VÀO POWERWORLD</t>
  </si>
  <si>
    <t>Bus 2: Right-click → Load Options → Load Information tab</t>
  </si>
  <si>
    <t xml:space="preserve">  → MW Value (Constant Power column) = giá trị MW từ Sheet 4</t>
  </si>
  <si>
    <t xml:space="preserve">  → Mvar Value (Constant Power column) = giá trị Mvar từ Sheet 4</t>
  </si>
  <si>
    <t xml:space="preserve">  → Constant Current = 0.000 (giữ nguyên)</t>
  </si>
  <si>
    <t xml:space="preserve">  → Constant Impedance = 0.000 (giữ nguyên)</t>
  </si>
  <si>
    <t>Lặp lại cho Bus 4, 6, 8, 10, 13, 14, 15</t>
  </si>
  <si>
    <t>THỨ TỰ CHẠY 14 LẦN CÒN LẠI</t>
  </si>
  <si>
    <t>Bước 1 (1 giờ)</t>
  </si>
  <si>
    <t>Base case 2 thuật toán còn lại: S1-BC, S1-HB</t>
  </si>
  <si>
    <t>Bước 2 (3 giờ)</t>
  </si>
  <si>
    <t>N-1 mất S1: S2-BC, S2-HB, S2-HY</t>
  </si>
  <si>
    <t>Bước 3 (3 giờ)</t>
  </si>
  <si>
    <t>N-1 mất S2: S3-BC, S3-HB, S3-HY</t>
  </si>
  <si>
    <t>Bước 4 (2 giờ)</t>
  </si>
  <si>
    <t>Sensitivity ×1.2: S4-BC, S4-HB, S4-HY</t>
  </si>
  <si>
    <t>Bước 5 (2 giờ)</t>
  </si>
  <si>
    <t>Sensitivity ×1.5: S5-BC, S5-HB, S5-HY</t>
  </si>
  <si>
    <t>CHARGER ALLOCATION BY STATION (units) — from Thesis Tables 5.6, 5.7, 5.8</t>
  </si>
  <si>
    <t>Station</t>
  </si>
  <si>
    <t>Bus</t>
  </si>
  <si>
    <t>TBA</t>
  </si>
  <si>
    <t>B&amp;C</t>
  </si>
  <si>
    <t>Hybrid</t>
  </si>
  <si>
    <t>Status</t>
  </si>
  <si>
    <t>11kW</t>
  </si>
  <si>
    <t>60kW</t>
  </si>
  <si>
    <t>150kW</t>
  </si>
  <si>
    <t>CC-TM2</t>
  </si>
  <si>
    <t>T10</t>
  </si>
  <si>
    <t>CC-TLC</t>
  </si>
  <si>
    <t>T14</t>
  </si>
  <si>
    <t>CC-HH2</t>
  </si>
  <si>
    <t>T13</t>
  </si>
  <si>
    <t>CC-TT1</t>
  </si>
  <si>
    <t>T9</t>
  </si>
  <si>
    <t>CC-TM1</t>
  </si>
  <si>
    <t>T8</t>
  </si>
  <si>
    <t>CC-HH1</t>
  </si>
  <si>
    <t>T7</t>
  </si>
  <si>
    <t>CC-BDX</t>
  </si>
  <si>
    <t>T12</t>
  </si>
  <si>
    <t>CC-TM3</t>
  </si>
  <si>
    <t>T11</t>
  </si>
  <si>
    <t>TOTAL</t>
  </si>
  <si>
    <t>EVCS LOAD AT EACH BUS — MW (Constant Power) + Mvar — ready for PowerWorld</t>
  </si>
  <si>
    <t>Formula: MW = (N₁₁×11×0.35 + N₆₀×60×0.345 + N₁₅₀×150×0.44) / 0.98 / 1000  |  Mvar = MW × 0.2031</t>
  </si>
  <si>
    <t>NO 1.2 reserve factor (operational load, not transformer sizing)  |  cosφ = 0.98 after compensation</t>
  </si>
  <si>
    <t>Constants</t>
  </si>
  <si>
    <t>SCF 11kW (EM)</t>
  </si>
  <si>
    <t>SCF 60kW (avg EC/ET)</t>
  </si>
  <si>
    <t>SCF 150kW (EB)</t>
  </si>
  <si>
    <t>cosφ (after comp.)</t>
  </si>
  <si>
    <t>tanφ = sin/cos</t>
  </si>
  <si>
    <t>Verification (Hybrid)</t>
  </si>
  <si>
    <t>MW</t>
  </si>
  <si>
    <t>Mvar</t>
  </si>
  <si>
    <t>Appendix kW</t>
  </si>
  <si>
    <t>Calc kW</t>
  </si>
  <si>
    <t>Diff %</t>
  </si>
  <si>
    <t>Verification: 'Calc kW' = MW × 1000 × cosφ × 1.2 should match Appendix 6. Diff &lt; 1% confirms correct calculation.</t>
  </si>
  <si>
    <t>SCENARIO LIST — 15 PowerWorld runs</t>
  </si>
  <si>
    <t>#</t>
  </si>
  <si>
    <t>Scenario ID</t>
  </si>
  <si>
    <t>Algorithm</t>
  </si>
  <si>
    <t>Source state</t>
  </si>
  <si>
    <t>Multiplier</t>
  </si>
  <si>
    <t>Description</t>
  </si>
  <si>
    <t>Priority</t>
  </si>
  <si>
    <t>S1-BC</t>
  </si>
  <si>
    <t>Both S1+S2</t>
  </si>
  <si>
    <t>Base case — both sources OK</t>
  </si>
  <si>
    <t>1 — High</t>
  </si>
  <si>
    <t>S1-HB</t>
  </si>
  <si>
    <t>S1-HY</t>
  </si>
  <si>
    <t>Base case — both sources OK (DONE in thesis)</t>
  </si>
  <si>
    <t>Done</t>
  </si>
  <si>
    <t>✓ Completed</t>
  </si>
  <si>
    <t>S2-BC</t>
  </si>
  <si>
    <t>S1 lost</t>
  </si>
  <si>
    <t>N-1: lose S1, S2 carries all (close N.O. 3-4)</t>
  </si>
  <si>
    <t>S2-HB</t>
  </si>
  <si>
    <t>S2-HY</t>
  </si>
  <si>
    <t>S3-BC</t>
  </si>
  <si>
    <t>S2 lost</t>
  </si>
  <si>
    <t>N-1: lose S2, S1 carries all (close N.O. 3-4)</t>
  </si>
  <si>
    <t>S3-HB</t>
  </si>
  <si>
    <t>S3-HY</t>
  </si>
  <si>
    <t>S4-BC</t>
  </si>
  <si>
    <t>Sensitivity ×1.2 — seasonal tourism peak</t>
  </si>
  <si>
    <t>2 — Med</t>
  </si>
  <si>
    <t>S4-HB</t>
  </si>
  <si>
    <t>S4-HY</t>
  </si>
  <si>
    <t>S5-BC</t>
  </si>
  <si>
    <t>Sensitivity ×1.5 — APEC-like event stress</t>
  </si>
  <si>
    <t>S5-HB</t>
  </si>
  <si>
    <t>S5-HY</t>
  </si>
  <si>
    <t>POWERWORLD INPUT TABLE — MW &amp; Mvar pairs ready to copy into Load Options dialog</t>
  </si>
  <si>
    <t>Each row = 1 PowerWorld run. For each bus, copy MW into 'MW Value' and Mvar into 'Mvar Value' (Constant Power column).</t>
  </si>
  <si>
    <t>Scenario</t>
  </si>
  <si>
    <t>Algo</t>
  </si>
  <si>
    <t>Source</t>
  </si>
  <si>
    <t>Mult</t>
  </si>
  <si>
    <t>Bus 2 — CC-TM2</t>
  </si>
  <si>
    <t>Bus 4 — CC-TLC</t>
  </si>
  <si>
    <t>Bus 6 — CC-HH2</t>
  </si>
  <si>
    <t>Bus 8 — CC-TT1</t>
  </si>
  <si>
    <t>Bus 10 — CC-TM1</t>
  </si>
  <si>
    <t>Bus 13 — CC-HH1</t>
  </si>
  <si>
    <t>Bus 14 — CC-BDX</t>
  </si>
  <si>
    <t>Bus 15 — CC-TM3</t>
  </si>
  <si>
    <t>Notes:</t>
  </si>
  <si>
    <t>• N-1 (S2, S3): Open generator at lost source bus, AND close N.O. switch between Bus 3-4 (so S2 or S1 alone can serve all loads).</t>
  </si>
  <si>
    <t>• HBIPSO-GR: Bus 8 (CC-TT1) and Bus 15 (CC-TM3) have zero load — these stations are closed in optimization.</t>
  </si>
  <si>
    <t>• Hybrid base case (S1-HY) already completed — green row shows reference values.</t>
  </si>
  <si>
    <t>• In PowerWorld Load Options dialog: MW Value = 'MW' column, Mvar Value = 'Mvar' column (both under 'Constant Power' header).</t>
  </si>
  <si>
    <t>• Constant Current and Constant Impedance fields stay at 0.000.</t>
  </si>
  <si>
    <t>RESULTS TEMPLATE — fill after each PowerWorld run</t>
  </si>
  <si>
    <t>After each NR power flow, record V_min, max feeder loading, total losses, and check violations.</t>
  </si>
  <si>
    <t>V_min (p.u.)</t>
  </si>
  <si>
    <t>Bus of V_min</t>
  </si>
  <si>
    <t>Max %S
loading</t>
  </si>
  <si>
    <t>Branch of
max loading</t>
  </si>
  <si>
    <t>P_loss (kW)</t>
  </si>
  <si>
    <t>Violation?
(Y/N)</t>
  </si>
  <si>
    <t>Notes</t>
  </si>
  <si>
    <t>Bus 16 (T5)</t>
  </si>
  <si>
    <t>N</t>
  </si>
  <si>
    <t>QUICK ANALYSIS QUESTIONS — answer after data is filled:</t>
  </si>
  <si>
    <t>Q1 — Base case (S1): Which algorithm has the highest max feeder loading? Compare with HBIPSO-GR's concentrated CC-TM1 load (1.75 MW at Bus 10).</t>
  </si>
  <si>
    <t>Q2 — N-1 (S2, S3): Are there violations? When S2 is lost, S1 must feed everything alone — does any algorithm fail?</t>
  </si>
  <si>
    <t>Q3 — Sensitivity (S4, S5): At ×1.5 multiplier, does any algorithm exceed 100% loading?</t>
  </si>
  <si>
    <t>Q4 — Pattern: Do distributed layouts (B&amp;C, Hybrid) consistently outperform concentrated (HBIPSO-GR) under stress?</t>
  </si>
  <si>
    <t>S1 to T10</t>
  </si>
  <si>
    <t>T13 to S2</t>
  </si>
  <si>
    <t>Bus 13 (T7)</t>
  </si>
  <si>
    <t>Y</t>
  </si>
  <si>
    <t>T6 to T13 (122.9)</t>
  </si>
  <si>
    <t>Bus 6 (T13)</t>
  </si>
  <si>
    <t>BIPSO-GR closed</t>
  </si>
  <si>
    <t>T6 to T13 (103.2)</t>
  </si>
  <si>
    <t>BIPSO-GR</t>
  </si>
  <si>
    <t>(\hat{F}_1)</t>
  </si>
  <si>
    <t>(\hat{F}_2)</t>
  </si>
  <si>
    <t>(\hat{F}_3)</t>
  </si>
  <si>
    <t>(Z)</t>
  </si>
  <si>
    <t>Active stations</t>
  </si>
  <si>
    <t>Total chargers</t>
  </si>
  <si>
    <t>Gap (%)</t>
  </si>
  <si>
    <t>TABLE VI</t>
  </si>
  <si>
    <t>OPTIMIZATION AND DEPLOYMENT RESULTS OF THE THREE PLANNING METHODS</t>
  </si>
  <si>
    <t>11 kW</t>
  </si>
  <si>
    <t>60 kW</t>
  </si>
  <si>
    <t>150 kW</t>
  </si>
  <si>
    <t>Installed capacity (MW)</t>
  </si>
  <si>
    <t>(P^{EVCS}) (MW)</t>
  </si>
  <si>
    <t>(Q^{EVCS}) (MVAr)</t>
  </si>
  <si>
    <t>HHI</t>
  </si>
  <si>
    <t>Raw (F_1)</t>
  </si>
  <si>
    <t>Raw (F_2)</t>
  </si>
  <si>
    <t>Raw (F_3)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</si>
</sst>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"/>
    <numFmt numFmtId="167" formatCode="0.0"/>
  </numFmts>
  <fonts count="14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1"/>
      <color rgb="FF1F4E79"/>
      <name val="Arial"/>
      <charset val="1"/>
    </font>
    <font>
      <b/>
      <sz val="11"/>
      <name val="Arial"/>
      <charset val="1"/>
    </font>
    <font>
      <b/>
      <sz val="13"/>
      <color rgb="FF1F4E79"/>
      <name val="Arial"/>
      <charset val="1"/>
    </font>
    <font>
      <b/>
      <sz val="11"/>
      <color rgb="FFFFFFFF"/>
      <name val="Arial"/>
      <charset val="1"/>
    </font>
    <font>
      <sz val="10"/>
      <color rgb="FFAAAAAA"/>
      <name val="Arial"/>
      <charset val="1"/>
    </font>
    <font>
      <b/>
      <sz val="10"/>
      <color rgb="FFC00000"/>
      <name val="Arial"/>
      <charset val="1"/>
    </font>
    <font>
      <b/>
      <sz val="10"/>
      <color rgb="FF1F7A1F"/>
      <name val="Arial"/>
      <charset val="1"/>
    </font>
    <font>
      <sz val="9"/>
      <color rgb="FF888888"/>
      <name val="Arial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0E0E0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D9E1F2"/>
      </patternFill>
    </fill>
    <fill>
      <patternFill patternType="solid">
        <fgColor rgb="FFE2EFDA"/>
        <bgColor rgb="FFDEEBF7"/>
      </patternFill>
    </fill>
    <fill>
      <patternFill patternType="solid">
        <fgColor rgb="FFF2F2F2"/>
        <bgColor rgb="FFE2EFDA"/>
      </patternFill>
    </fill>
    <fill>
      <patternFill patternType="solid">
        <fgColor rgb="FFE0E0E0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2C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/>
    <xf numFmtId="0" fontId="4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3" fillId="0" borderId="0" xfId="0" applyFont="1"/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7" fontId="3" fillId="10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167" fontId="3" fillId="11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/>
    <xf numFmtId="1" fontId="3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6" fillId="0" borderId="0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4" fillId="0" borderId="0" xfId="0" applyFont="1" applyBorder="1"/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AAAAAA"/>
      <rgbColor rgb="FF888888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0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C745-6910-4675-91F2-3DCB784B1F56}">
  <dimension ref="B3:K25"/>
  <sheetViews>
    <sheetView tabSelected="1" workbookViewId="0">
      <selection activeCell="P16" sqref="P15:Q16"/>
    </sheetView>
  </sheetViews>
  <sheetFormatPr defaultRowHeight="15" x14ac:dyDescent="0.25"/>
  <sheetData>
    <row r="3" spans="2:11" x14ac:dyDescent="0.25">
      <c r="B3" t="s">
        <v>183</v>
      </c>
    </row>
    <row r="4" spans="2:11" x14ac:dyDescent="0.25">
      <c r="B4" t="s">
        <v>184</v>
      </c>
    </row>
    <row r="5" spans="2:11" ht="30" x14ac:dyDescent="0.25">
      <c r="B5" s="50" t="s">
        <v>98</v>
      </c>
      <c r="C5" s="52" t="s">
        <v>176</v>
      </c>
      <c r="D5" s="52" t="s">
        <v>177</v>
      </c>
      <c r="E5" s="52" t="s">
        <v>178</v>
      </c>
      <c r="F5" s="52" t="s">
        <v>179</v>
      </c>
      <c r="G5" s="52" t="s">
        <v>180</v>
      </c>
      <c r="H5" s="52" t="s">
        <v>181</v>
      </c>
      <c r="I5" s="52" t="s">
        <v>182</v>
      </c>
    </row>
    <row r="6" spans="2:11" x14ac:dyDescent="0.25">
      <c r="B6" s="53" t="s">
        <v>56</v>
      </c>
      <c r="C6" s="51">
        <v>0.15514</v>
      </c>
      <c r="D6" s="51">
        <v>1.7489999999999999E-2</v>
      </c>
      <c r="E6" s="51">
        <v>8.6080000000000004E-2</v>
      </c>
      <c r="F6" s="51">
        <v>-1.7649999999999999E-2</v>
      </c>
      <c r="G6" s="51">
        <v>8</v>
      </c>
      <c r="H6" s="51">
        <v>188</v>
      </c>
      <c r="I6" s="51">
        <v>1E-3</v>
      </c>
    </row>
    <row r="7" spans="2:11" ht="30" x14ac:dyDescent="0.25">
      <c r="B7" s="53" t="s">
        <v>175</v>
      </c>
      <c r="C7" s="51">
        <v>0.20887</v>
      </c>
      <c r="D7" s="51">
        <v>3.3119999999999997E-2</v>
      </c>
      <c r="E7" s="51">
        <v>0.20444000000000001</v>
      </c>
      <c r="F7" s="51">
        <v>8.8299999999999993E-3</v>
      </c>
      <c r="G7" s="51">
        <v>6</v>
      </c>
      <c r="H7" s="51">
        <v>333</v>
      </c>
      <c r="I7" s="51">
        <v>8.9999999999999993E-3</v>
      </c>
    </row>
    <row r="8" spans="2:11" x14ac:dyDescent="0.25">
      <c r="B8" s="53" t="s">
        <v>57</v>
      </c>
      <c r="C8" s="51">
        <v>0.15514</v>
      </c>
      <c r="D8" s="51">
        <v>1.7489999999999999E-2</v>
      </c>
      <c r="E8" s="51">
        <v>7.9589999999999994E-2</v>
      </c>
      <c r="F8" s="51">
        <v>-1.9810000000000001E-2</v>
      </c>
      <c r="G8" s="51">
        <v>8</v>
      </c>
      <c r="H8" s="51">
        <v>181</v>
      </c>
      <c r="I8" s="51">
        <v>1E-3</v>
      </c>
    </row>
    <row r="13" spans="2:11" ht="45" x14ac:dyDescent="0.25">
      <c r="B13" s="50" t="s">
        <v>98</v>
      </c>
      <c r="C13" s="52" t="s">
        <v>180</v>
      </c>
      <c r="D13" s="52" t="s">
        <v>185</v>
      </c>
      <c r="E13" s="52" t="s">
        <v>186</v>
      </c>
      <c r="F13" s="52" t="s">
        <v>187</v>
      </c>
      <c r="G13" s="52" t="s">
        <v>181</v>
      </c>
      <c r="H13" s="52" t="s">
        <v>188</v>
      </c>
      <c r="I13" s="52" t="s">
        <v>189</v>
      </c>
      <c r="J13" s="52" t="s">
        <v>190</v>
      </c>
      <c r="K13" s="52" t="s">
        <v>191</v>
      </c>
    </row>
    <row r="14" spans="2:11" x14ac:dyDescent="0.25">
      <c r="B14" s="53" t="s">
        <v>56</v>
      </c>
      <c r="C14" s="51">
        <v>8</v>
      </c>
      <c r="D14" s="51">
        <v>105</v>
      </c>
      <c r="E14" s="51">
        <v>77</v>
      </c>
      <c r="F14" s="51">
        <v>6</v>
      </c>
      <c r="G14" s="51">
        <v>188</v>
      </c>
      <c r="H14" s="51">
        <v>6.6749999999999998</v>
      </c>
      <c r="I14" s="51">
        <v>2.4173</v>
      </c>
      <c r="J14" s="51">
        <v>0.49080000000000001</v>
      </c>
      <c r="K14" s="51">
        <v>0.1736</v>
      </c>
    </row>
    <row r="15" spans="2:11" ht="30" x14ac:dyDescent="0.25">
      <c r="B15" s="53" t="s">
        <v>175</v>
      </c>
      <c r="C15" s="51">
        <v>6</v>
      </c>
      <c r="D15" s="51">
        <v>91</v>
      </c>
      <c r="E15" s="51">
        <v>240</v>
      </c>
      <c r="F15" s="51">
        <v>2</v>
      </c>
      <c r="G15" s="51">
        <v>333</v>
      </c>
      <c r="H15" s="51">
        <v>15.701000000000001</v>
      </c>
      <c r="I15" s="51">
        <v>5.5224000000000002</v>
      </c>
      <c r="J15" s="51">
        <v>1.1214</v>
      </c>
      <c r="K15" s="51">
        <v>0.2419</v>
      </c>
    </row>
    <row r="16" spans="2:11" x14ac:dyDescent="0.25">
      <c r="B16" s="53" t="s">
        <v>57</v>
      </c>
      <c r="C16" s="51">
        <v>8</v>
      </c>
      <c r="D16" s="51">
        <v>99</v>
      </c>
      <c r="E16" s="51">
        <v>79</v>
      </c>
      <c r="F16" s="51">
        <v>3</v>
      </c>
      <c r="G16" s="51">
        <v>181</v>
      </c>
      <c r="H16" s="51">
        <v>6.2789999999999999</v>
      </c>
      <c r="I16" s="51">
        <v>2.2382</v>
      </c>
      <c r="J16" s="51">
        <v>0.45450000000000002</v>
      </c>
      <c r="K16" s="51">
        <v>0.1764</v>
      </c>
    </row>
    <row r="22" spans="2:10" ht="30" x14ac:dyDescent="0.25">
      <c r="B22" s="50" t="s">
        <v>98</v>
      </c>
      <c r="C22" s="52" t="s">
        <v>192</v>
      </c>
      <c r="D22" s="52" t="s">
        <v>193</v>
      </c>
      <c r="E22" s="52" t="s">
        <v>194</v>
      </c>
      <c r="F22" s="52" t="s">
        <v>176</v>
      </c>
      <c r="G22" s="52" t="s">
        <v>177</v>
      </c>
      <c r="H22" s="52" t="s">
        <v>178</v>
      </c>
      <c r="I22" s="52" t="s">
        <v>179</v>
      </c>
      <c r="J22" s="52" t="s">
        <v>182</v>
      </c>
    </row>
    <row r="23" spans="2:10" x14ac:dyDescent="0.25">
      <c r="B23" s="53" t="s">
        <v>56</v>
      </c>
      <c r="C23" s="51">
        <v>80.849999999999994</v>
      </c>
      <c r="D23" s="51">
        <v>255.15</v>
      </c>
      <c r="E23" s="51">
        <v>1371.8</v>
      </c>
      <c r="F23" s="51">
        <v>0.15514</v>
      </c>
      <c r="G23" s="51">
        <v>1.7489999999999999E-2</v>
      </c>
      <c r="H23" s="51">
        <v>8.6080000000000004E-2</v>
      </c>
      <c r="I23" s="51">
        <v>-1.7654E-2</v>
      </c>
      <c r="J23" s="51">
        <v>1.4090000000000001E-3</v>
      </c>
    </row>
    <row r="24" spans="2:10" ht="30" x14ac:dyDescent="0.25">
      <c r="B24" s="53" t="s">
        <v>175</v>
      </c>
      <c r="C24" s="51">
        <v>108.85</v>
      </c>
      <c r="D24" s="51">
        <v>483.35</v>
      </c>
      <c r="E24" s="51">
        <v>3258.1</v>
      </c>
      <c r="F24" s="51">
        <v>0.20887</v>
      </c>
      <c r="G24" s="51">
        <v>3.3119999999999997E-2</v>
      </c>
      <c r="H24" s="51">
        <v>0.20444000000000001</v>
      </c>
      <c r="I24" s="51">
        <v>8.8339999999999998E-3</v>
      </c>
      <c r="J24" s="51">
        <v>9.1420000000000008E-3</v>
      </c>
    </row>
    <row r="25" spans="2:10" x14ac:dyDescent="0.25">
      <c r="B25" s="53" t="s">
        <v>57</v>
      </c>
      <c r="C25" s="51">
        <v>80.849999999999994</v>
      </c>
      <c r="D25" s="51">
        <v>255.15</v>
      </c>
      <c r="E25" s="51">
        <v>1268.3</v>
      </c>
      <c r="F25" s="51">
        <v>0.15514</v>
      </c>
      <c r="G25" s="51">
        <v>1.7489999999999999E-2</v>
      </c>
      <c r="H25" s="51">
        <v>7.9589999999999994E-2</v>
      </c>
      <c r="I25" s="51">
        <v>-1.9812E-2</v>
      </c>
      <c r="J25" s="51">
        <v>1.0150000000000001E-3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zoomScaleNormal="100" workbookViewId="0">
      <selection sqref="A1:D1"/>
    </sheetView>
  </sheetViews>
  <sheetFormatPr defaultColWidth="8.7109375" defaultRowHeight="15" x14ac:dyDescent="0.25"/>
  <cols>
    <col min="1" max="1" width="28" customWidth="1"/>
    <col min="2" max="4" width="30" customWidth="1"/>
  </cols>
  <sheetData>
    <row r="1" spans="1:4" ht="18" x14ac:dyDescent="0.25">
      <c r="A1" s="41" t="s">
        <v>0</v>
      </c>
      <c r="B1" s="41"/>
      <c r="C1" s="41"/>
      <c r="D1" s="41"/>
    </row>
    <row r="2" spans="1:4" x14ac:dyDescent="0.25">
      <c r="A2" s="42" t="s">
        <v>1</v>
      </c>
      <c r="B2" s="42"/>
      <c r="C2" s="42"/>
      <c r="D2" s="42"/>
    </row>
    <row r="3" spans="1:4" x14ac:dyDescent="0.25">
      <c r="B3" s="43"/>
      <c r="C3" s="43"/>
      <c r="D3" s="43"/>
    </row>
    <row r="4" spans="1:4" x14ac:dyDescent="0.25">
      <c r="A4" s="2" t="s">
        <v>2</v>
      </c>
      <c r="B4" s="44"/>
      <c r="C4" s="44"/>
      <c r="D4" s="44"/>
    </row>
    <row r="5" spans="1:4" x14ac:dyDescent="0.25">
      <c r="B5" s="43" t="s">
        <v>3</v>
      </c>
      <c r="C5" s="43"/>
      <c r="D5" s="43"/>
    </row>
    <row r="6" spans="1:4" x14ac:dyDescent="0.25">
      <c r="B6" s="43" t="s">
        <v>4</v>
      </c>
      <c r="C6" s="43"/>
      <c r="D6" s="43"/>
    </row>
    <row r="7" spans="1:4" x14ac:dyDescent="0.25">
      <c r="B7" s="43" t="s">
        <v>5</v>
      </c>
      <c r="C7" s="43"/>
      <c r="D7" s="43"/>
    </row>
    <row r="8" spans="1:4" x14ac:dyDescent="0.25">
      <c r="B8" s="43"/>
      <c r="C8" s="43"/>
      <c r="D8" s="43"/>
    </row>
    <row r="9" spans="1:4" x14ac:dyDescent="0.25">
      <c r="A9" s="2" t="s">
        <v>6</v>
      </c>
      <c r="B9" s="44"/>
      <c r="C9" s="44"/>
      <c r="D9" s="44"/>
    </row>
    <row r="10" spans="1:4" x14ac:dyDescent="0.25">
      <c r="B10" s="43" t="s">
        <v>7</v>
      </c>
      <c r="C10" s="43"/>
      <c r="D10" s="43"/>
    </row>
    <row r="11" spans="1:4" x14ac:dyDescent="0.25">
      <c r="B11" s="43" t="s">
        <v>8</v>
      </c>
      <c r="C11" s="43"/>
      <c r="D11" s="43"/>
    </row>
    <row r="12" spans="1:4" x14ac:dyDescent="0.25">
      <c r="B12" s="43"/>
      <c r="C12" s="43"/>
      <c r="D12" s="43"/>
    </row>
    <row r="13" spans="1:4" x14ac:dyDescent="0.25">
      <c r="A13" s="2" t="s">
        <v>9</v>
      </c>
      <c r="B13" s="44"/>
      <c r="C13" s="44"/>
      <c r="D13" s="44"/>
    </row>
    <row r="14" spans="1:4" x14ac:dyDescent="0.25">
      <c r="B14" s="43" t="s">
        <v>10</v>
      </c>
      <c r="C14" s="43"/>
      <c r="D14" s="43"/>
    </row>
    <row r="15" spans="1:4" x14ac:dyDescent="0.25">
      <c r="B15" s="43" t="s">
        <v>11</v>
      </c>
      <c r="C15" s="43"/>
      <c r="D15" s="43"/>
    </row>
    <row r="16" spans="1:4" x14ac:dyDescent="0.25">
      <c r="B16" s="43" t="s">
        <v>12</v>
      </c>
      <c r="C16" s="43"/>
      <c r="D16" s="43"/>
    </row>
    <row r="17" spans="1:4" x14ac:dyDescent="0.25">
      <c r="B17" s="43" t="s">
        <v>13</v>
      </c>
      <c r="C17" s="43"/>
      <c r="D17" s="43"/>
    </row>
    <row r="18" spans="1:4" x14ac:dyDescent="0.25">
      <c r="B18" s="43"/>
      <c r="C18" s="43"/>
      <c r="D18" s="43"/>
    </row>
    <row r="19" spans="1:4" x14ac:dyDescent="0.25">
      <c r="A19" s="2" t="s">
        <v>14</v>
      </c>
      <c r="B19" s="44"/>
      <c r="C19" s="44"/>
      <c r="D19" s="44"/>
    </row>
    <row r="20" spans="1:4" x14ac:dyDescent="0.25">
      <c r="A20" s="3" t="s">
        <v>15</v>
      </c>
      <c r="B20" s="43" t="s">
        <v>16</v>
      </c>
      <c r="C20" s="43"/>
      <c r="D20" s="43"/>
    </row>
    <row r="21" spans="1:4" x14ac:dyDescent="0.25">
      <c r="A21" s="3" t="s">
        <v>17</v>
      </c>
      <c r="B21" s="43" t="s">
        <v>18</v>
      </c>
      <c r="C21" s="43"/>
      <c r="D21" s="43"/>
    </row>
    <row r="22" spans="1:4" x14ac:dyDescent="0.25">
      <c r="A22" s="3" t="s">
        <v>19</v>
      </c>
      <c r="B22" s="43" t="s">
        <v>20</v>
      </c>
      <c r="C22" s="43"/>
      <c r="D22" s="43"/>
    </row>
    <row r="23" spans="1:4" x14ac:dyDescent="0.25">
      <c r="A23" s="3" t="s">
        <v>21</v>
      </c>
      <c r="B23" s="43" t="s">
        <v>22</v>
      </c>
      <c r="C23" s="43"/>
      <c r="D23" s="43"/>
    </row>
    <row r="24" spans="1:4" x14ac:dyDescent="0.25">
      <c r="A24" s="3" t="s">
        <v>23</v>
      </c>
      <c r="B24" s="43" t="s">
        <v>24</v>
      </c>
      <c r="C24" s="43"/>
      <c r="D24" s="43"/>
    </row>
    <row r="25" spans="1:4" x14ac:dyDescent="0.25">
      <c r="B25" s="43"/>
      <c r="C25" s="43"/>
      <c r="D25" s="43"/>
    </row>
    <row r="26" spans="1:4" x14ac:dyDescent="0.25">
      <c r="A26" s="2" t="s">
        <v>25</v>
      </c>
      <c r="B26" s="44"/>
      <c r="C26" s="44"/>
      <c r="D26" s="44"/>
    </row>
    <row r="27" spans="1:4" x14ac:dyDescent="0.25">
      <c r="A27" s="3" t="s">
        <v>26</v>
      </c>
      <c r="B27" s="43" t="s">
        <v>27</v>
      </c>
      <c r="C27" s="43"/>
      <c r="D27" s="43"/>
    </row>
    <row r="28" spans="1:4" x14ac:dyDescent="0.25">
      <c r="A28" s="3" t="s">
        <v>28</v>
      </c>
      <c r="B28" s="43" t="s">
        <v>29</v>
      </c>
      <c r="C28" s="43"/>
      <c r="D28" s="43"/>
    </row>
    <row r="29" spans="1:4" x14ac:dyDescent="0.25">
      <c r="A29" s="3" t="s">
        <v>30</v>
      </c>
      <c r="B29" s="43" t="s">
        <v>31</v>
      </c>
      <c r="C29" s="43"/>
      <c r="D29" s="43"/>
    </row>
    <row r="30" spans="1:4" x14ac:dyDescent="0.25">
      <c r="A30" s="3" t="s">
        <v>32</v>
      </c>
      <c r="B30" s="43" t="s">
        <v>33</v>
      </c>
      <c r="C30" s="43"/>
      <c r="D30" s="43"/>
    </row>
    <row r="31" spans="1:4" x14ac:dyDescent="0.25">
      <c r="B31" s="43"/>
      <c r="C31" s="43"/>
      <c r="D31" s="43"/>
    </row>
    <row r="32" spans="1:4" x14ac:dyDescent="0.25">
      <c r="A32" s="2" t="s">
        <v>34</v>
      </c>
      <c r="B32" s="44"/>
      <c r="C32" s="44"/>
      <c r="D32" s="44"/>
    </row>
    <row r="33" spans="1:4" x14ac:dyDescent="0.25">
      <c r="B33" s="43" t="s">
        <v>35</v>
      </c>
      <c r="C33" s="43"/>
      <c r="D33" s="43"/>
    </row>
    <row r="34" spans="1:4" x14ac:dyDescent="0.25">
      <c r="B34" s="43" t="s">
        <v>36</v>
      </c>
      <c r="C34" s="43"/>
      <c r="D34" s="43"/>
    </row>
    <row r="35" spans="1:4" x14ac:dyDescent="0.25">
      <c r="B35" s="43" t="s">
        <v>37</v>
      </c>
      <c r="C35" s="43"/>
      <c r="D35" s="43"/>
    </row>
    <row r="36" spans="1:4" x14ac:dyDescent="0.25">
      <c r="B36" s="43" t="s">
        <v>38</v>
      </c>
      <c r="C36" s="43"/>
      <c r="D36" s="43"/>
    </row>
    <row r="37" spans="1:4" x14ac:dyDescent="0.25">
      <c r="B37" s="43" t="s">
        <v>39</v>
      </c>
      <c r="C37" s="43"/>
      <c r="D37" s="43"/>
    </row>
    <row r="38" spans="1:4" x14ac:dyDescent="0.25">
      <c r="B38" s="43" t="s">
        <v>40</v>
      </c>
      <c r="C38" s="43"/>
      <c r="D38" s="43"/>
    </row>
    <row r="39" spans="1:4" x14ac:dyDescent="0.25">
      <c r="B39" s="43"/>
      <c r="C39" s="43"/>
      <c r="D39" s="43"/>
    </row>
    <row r="40" spans="1:4" x14ac:dyDescent="0.25">
      <c r="A40" s="2" t="s">
        <v>41</v>
      </c>
      <c r="B40" s="44"/>
      <c r="C40" s="44"/>
      <c r="D40" s="44"/>
    </row>
    <row r="41" spans="1:4" x14ac:dyDescent="0.25">
      <c r="A41" s="3" t="s">
        <v>42</v>
      </c>
      <c r="B41" s="43" t="s">
        <v>43</v>
      </c>
      <c r="C41" s="43"/>
      <c r="D41" s="43"/>
    </row>
    <row r="42" spans="1:4" x14ac:dyDescent="0.25">
      <c r="A42" s="3" t="s">
        <v>44</v>
      </c>
      <c r="B42" s="43" t="s">
        <v>45</v>
      </c>
      <c r="C42" s="43"/>
      <c r="D42" s="43"/>
    </row>
    <row r="43" spans="1:4" x14ac:dyDescent="0.25">
      <c r="A43" s="3" t="s">
        <v>46</v>
      </c>
      <c r="B43" s="43" t="s">
        <v>47</v>
      </c>
      <c r="C43" s="43"/>
      <c r="D43" s="43"/>
    </row>
    <row r="44" spans="1:4" x14ac:dyDescent="0.25">
      <c r="A44" s="3" t="s">
        <v>48</v>
      </c>
      <c r="B44" s="43" t="s">
        <v>49</v>
      </c>
      <c r="C44" s="43"/>
      <c r="D44" s="43"/>
    </row>
    <row r="45" spans="1:4" x14ac:dyDescent="0.25">
      <c r="A45" s="3" t="s">
        <v>50</v>
      </c>
      <c r="B45" s="43" t="s">
        <v>51</v>
      </c>
      <c r="C45" s="43"/>
      <c r="D45" s="43"/>
    </row>
  </sheetData>
  <mergeCells count="45"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A1:D1"/>
    <mergeCell ref="A2:D2"/>
    <mergeCell ref="B3:D3"/>
    <mergeCell ref="B4:D4"/>
    <mergeCell ref="B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"/>
  <sheetViews>
    <sheetView zoomScaleNormal="100" workbookViewId="0">
      <selection activeCell="E18" sqref="E18"/>
    </sheetView>
  </sheetViews>
  <sheetFormatPr defaultColWidth="8.7109375" defaultRowHeight="15" x14ac:dyDescent="0.25"/>
  <cols>
    <col min="1" max="1" width="12" customWidth="1"/>
    <col min="2" max="3" width="6" customWidth="1"/>
    <col min="4" max="12" width="8" customWidth="1"/>
    <col min="13" max="13" width="18" customWidth="1"/>
  </cols>
  <sheetData>
    <row r="1" spans="1:14" ht="16.5" x14ac:dyDescent="0.25">
      <c r="A1" s="45" t="s">
        <v>52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ht="21.75" customHeight="1" x14ac:dyDescent="0.25">
      <c r="A3" s="4" t="s">
        <v>53</v>
      </c>
      <c r="B3" s="4" t="s">
        <v>54</v>
      </c>
      <c r="C3" s="4" t="s">
        <v>55</v>
      </c>
      <c r="D3" s="46" t="s">
        <v>56</v>
      </c>
      <c r="E3" s="46"/>
      <c r="F3" s="46"/>
      <c r="G3" s="46" t="s">
        <v>175</v>
      </c>
      <c r="H3" s="46"/>
      <c r="I3" s="46"/>
      <c r="J3" s="46" t="s">
        <v>57</v>
      </c>
      <c r="K3" s="46"/>
      <c r="L3" s="46"/>
      <c r="M3" s="4" t="s">
        <v>58</v>
      </c>
    </row>
    <row r="4" spans="1:14" ht="18" customHeight="1" x14ac:dyDescent="0.25">
      <c r="A4" s="5"/>
      <c r="B4" s="5"/>
      <c r="C4" s="5"/>
      <c r="D4" s="5" t="s">
        <v>59</v>
      </c>
      <c r="E4" s="5" t="s">
        <v>60</v>
      </c>
      <c r="F4" s="5" t="s">
        <v>61</v>
      </c>
      <c r="G4" s="5" t="s">
        <v>59</v>
      </c>
      <c r="H4" s="5" t="s">
        <v>60</v>
      </c>
      <c r="I4" s="5" t="s">
        <v>61</v>
      </c>
      <c r="J4" s="5" t="s">
        <v>59</v>
      </c>
      <c r="K4" s="5" t="s">
        <v>60</v>
      </c>
      <c r="L4" s="5" t="s">
        <v>61</v>
      </c>
      <c r="M4" s="5"/>
    </row>
    <row r="5" spans="1:14" x14ac:dyDescent="0.25">
      <c r="A5" s="6" t="s">
        <v>62</v>
      </c>
      <c r="B5" s="7">
        <v>2</v>
      </c>
      <c r="C5" s="7" t="s">
        <v>63</v>
      </c>
      <c r="D5" s="8">
        <v>20</v>
      </c>
      <c r="E5" s="8">
        <v>6</v>
      </c>
      <c r="F5" s="9">
        <v>0</v>
      </c>
      <c r="G5" s="8">
        <v>25</v>
      </c>
      <c r="H5" s="8">
        <v>37</v>
      </c>
      <c r="I5" s="9">
        <v>0</v>
      </c>
      <c r="J5" s="37">
        <v>17</v>
      </c>
      <c r="K5" s="37">
        <v>5.5</v>
      </c>
      <c r="L5" s="38">
        <v>0</v>
      </c>
      <c r="M5" s="7"/>
    </row>
    <row r="6" spans="1:14" x14ac:dyDescent="0.25">
      <c r="A6" s="6" t="s">
        <v>64</v>
      </c>
      <c r="B6" s="7">
        <v>4</v>
      </c>
      <c r="C6" s="7" t="s">
        <v>65</v>
      </c>
      <c r="D6" s="8">
        <v>15</v>
      </c>
      <c r="E6" s="8">
        <v>8</v>
      </c>
      <c r="F6" s="9">
        <v>0</v>
      </c>
      <c r="G6" s="9">
        <v>0</v>
      </c>
      <c r="H6" s="8">
        <v>25</v>
      </c>
      <c r="I6" s="9">
        <v>0</v>
      </c>
      <c r="J6" s="37">
        <v>14.5</v>
      </c>
      <c r="K6" s="37">
        <v>8</v>
      </c>
      <c r="L6" s="38">
        <v>0</v>
      </c>
      <c r="M6" s="7"/>
    </row>
    <row r="7" spans="1:14" x14ac:dyDescent="0.25">
      <c r="A7" s="6" t="s">
        <v>66</v>
      </c>
      <c r="B7" s="7">
        <v>6</v>
      </c>
      <c r="C7" s="7" t="s">
        <v>67</v>
      </c>
      <c r="D7" s="8">
        <v>12</v>
      </c>
      <c r="E7" s="8">
        <v>21</v>
      </c>
      <c r="F7" s="9">
        <v>0</v>
      </c>
      <c r="G7" s="8">
        <v>25</v>
      </c>
      <c r="H7" s="8">
        <v>75</v>
      </c>
      <c r="I7" s="9">
        <v>0</v>
      </c>
      <c r="J7" s="37">
        <v>12</v>
      </c>
      <c r="K7" s="37">
        <v>32.5</v>
      </c>
      <c r="L7" s="38">
        <v>0</v>
      </c>
      <c r="M7" s="7"/>
    </row>
    <row r="8" spans="1:14" x14ac:dyDescent="0.25">
      <c r="A8" s="6" t="s">
        <v>68</v>
      </c>
      <c r="B8" s="7">
        <v>8</v>
      </c>
      <c r="C8" s="7" t="s">
        <v>69</v>
      </c>
      <c r="D8" s="8">
        <v>12</v>
      </c>
      <c r="E8" s="8">
        <v>6</v>
      </c>
      <c r="F8" s="9">
        <v>0</v>
      </c>
      <c r="G8" s="9">
        <v>0</v>
      </c>
      <c r="H8" s="9">
        <v>0</v>
      </c>
      <c r="I8" s="9">
        <v>0</v>
      </c>
      <c r="J8" s="37">
        <v>11.75</v>
      </c>
      <c r="K8" s="37">
        <v>6</v>
      </c>
      <c r="L8" s="38">
        <v>0</v>
      </c>
      <c r="M8" s="10" t="s">
        <v>173</v>
      </c>
    </row>
    <row r="9" spans="1:14" x14ac:dyDescent="0.25">
      <c r="A9" s="6" t="s">
        <v>70</v>
      </c>
      <c r="B9" s="7">
        <v>10</v>
      </c>
      <c r="C9" s="7" t="s">
        <v>71</v>
      </c>
      <c r="D9" s="8">
        <v>16</v>
      </c>
      <c r="E9" s="8">
        <v>9</v>
      </c>
      <c r="F9" s="9">
        <v>0</v>
      </c>
      <c r="G9" s="8">
        <v>25</v>
      </c>
      <c r="H9" s="8">
        <v>80</v>
      </c>
      <c r="I9" s="9">
        <v>0</v>
      </c>
      <c r="J9" s="37">
        <v>16</v>
      </c>
      <c r="K9" s="37">
        <v>9</v>
      </c>
      <c r="L9" s="38">
        <v>0</v>
      </c>
      <c r="M9" s="7"/>
    </row>
    <row r="10" spans="1:14" x14ac:dyDescent="0.25">
      <c r="A10" s="6" t="s">
        <v>72</v>
      </c>
      <c r="B10" s="7">
        <v>13</v>
      </c>
      <c r="C10" s="7" t="s">
        <v>73</v>
      </c>
      <c r="D10" s="8">
        <v>10</v>
      </c>
      <c r="E10" s="8">
        <v>6</v>
      </c>
      <c r="F10" s="9">
        <v>0</v>
      </c>
      <c r="G10" s="8">
        <v>3</v>
      </c>
      <c r="H10" s="8">
        <v>2</v>
      </c>
      <c r="I10" s="9">
        <v>0</v>
      </c>
      <c r="J10" s="37">
        <v>10.25</v>
      </c>
      <c r="K10" s="37">
        <v>5.5</v>
      </c>
      <c r="L10" s="38">
        <v>0</v>
      </c>
      <c r="M10" s="7"/>
    </row>
    <row r="11" spans="1:14" x14ac:dyDescent="0.25">
      <c r="A11" s="6" t="s">
        <v>74</v>
      </c>
      <c r="B11" s="7">
        <v>14</v>
      </c>
      <c r="C11" s="7" t="s">
        <v>75</v>
      </c>
      <c r="D11" s="8">
        <v>10</v>
      </c>
      <c r="E11" s="8">
        <v>14</v>
      </c>
      <c r="F11" s="8">
        <v>6</v>
      </c>
      <c r="G11" s="8">
        <v>13</v>
      </c>
      <c r="H11" s="8">
        <v>21</v>
      </c>
      <c r="I11" s="8">
        <v>2</v>
      </c>
      <c r="J11" s="37">
        <v>6.75</v>
      </c>
      <c r="K11" s="37">
        <v>4</v>
      </c>
      <c r="L11" s="37">
        <v>3</v>
      </c>
      <c r="M11" s="7"/>
    </row>
    <row r="12" spans="1:14" x14ac:dyDescent="0.25">
      <c r="A12" s="6" t="s">
        <v>76</v>
      </c>
      <c r="B12" s="7">
        <v>15</v>
      </c>
      <c r="C12" s="7" t="s">
        <v>77</v>
      </c>
      <c r="D12" s="8">
        <v>10</v>
      </c>
      <c r="E12" s="8">
        <v>7</v>
      </c>
      <c r="F12" s="9">
        <v>0</v>
      </c>
      <c r="G12" s="9">
        <v>0</v>
      </c>
      <c r="H12" s="9">
        <v>0</v>
      </c>
      <c r="I12" s="9">
        <v>0</v>
      </c>
      <c r="J12" s="37">
        <v>10</v>
      </c>
      <c r="K12" s="37">
        <v>6.5</v>
      </c>
      <c r="L12" s="38">
        <v>0</v>
      </c>
      <c r="M12" s="10" t="s">
        <v>173</v>
      </c>
    </row>
    <row r="13" spans="1:14" x14ac:dyDescent="0.25">
      <c r="A13" s="3" t="s">
        <v>78</v>
      </c>
      <c r="D13" s="11">
        <f t="shared" ref="D13:L13" si="0">SUM(D5:D12)</f>
        <v>105</v>
      </c>
      <c r="E13" s="11">
        <f t="shared" si="0"/>
        <v>77</v>
      </c>
      <c r="F13" s="11">
        <f t="shared" si="0"/>
        <v>6</v>
      </c>
      <c r="G13" s="11">
        <f t="shared" si="0"/>
        <v>91</v>
      </c>
      <c r="H13" s="11">
        <f t="shared" si="0"/>
        <v>240</v>
      </c>
      <c r="I13" s="11">
        <f t="shared" si="0"/>
        <v>2</v>
      </c>
      <c r="J13" s="39">
        <f t="shared" si="0"/>
        <v>98.25</v>
      </c>
      <c r="K13" s="11">
        <f t="shared" si="0"/>
        <v>77</v>
      </c>
      <c r="L13" s="11">
        <f t="shared" si="0"/>
        <v>3</v>
      </c>
    </row>
    <row r="18" spans="1:22" x14ac:dyDescent="0.25">
      <c r="A18" s="40"/>
      <c r="B18" s="1"/>
      <c r="U18" s="35"/>
      <c r="V18" s="35"/>
    </row>
    <row r="19" spans="1:22" x14ac:dyDescent="0.25">
      <c r="A19" s="40"/>
      <c r="B19" s="1"/>
      <c r="U19" s="35"/>
      <c r="V19" s="35"/>
    </row>
    <row r="20" spans="1:22" x14ac:dyDescent="0.25">
      <c r="A20" s="40"/>
      <c r="B20" s="1"/>
      <c r="D20" s="36"/>
      <c r="N20" s="36"/>
      <c r="U20" s="35"/>
      <c r="V20" s="35"/>
    </row>
    <row r="21" spans="1:22" x14ac:dyDescent="0.25">
      <c r="A21" s="40"/>
      <c r="B21" s="1"/>
      <c r="U21" s="35"/>
      <c r="V21" s="35"/>
    </row>
    <row r="22" spans="1:22" x14ac:dyDescent="0.25">
      <c r="A22" s="40"/>
      <c r="B22" s="1"/>
      <c r="U22" s="35"/>
      <c r="V22" s="35"/>
    </row>
    <row r="23" spans="1:22" x14ac:dyDescent="0.25">
      <c r="A23" s="40"/>
      <c r="B23" s="1"/>
      <c r="U23" s="35"/>
      <c r="V23" s="35"/>
    </row>
    <row r="24" spans="1:22" x14ac:dyDescent="0.25">
      <c r="A24" s="40"/>
      <c r="B24" s="1"/>
      <c r="U24" s="35"/>
      <c r="V24" s="35"/>
    </row>
    <row r="25" spans="1:22" x14ac:dyDescent="0.25">
      <c r="A25" s="40"/>
      <c r="B25" s="1"/>
      <c r="U25" s="35"/>
      <c r="V25" s="35"/>
    </row>
    <row r="26" spans="1:22" x14ac:dyDescent="0.25">
      <c r="A26" s="1"/>
      <c r="B26" s="1"/>
      <c r="T26" s="35"/>
      <c r="U26" s="35"/>
      <c r="V26" s="35"/>
    </row>
  </sheetData>
  <mergeCells count="4">
    <mergeCell ref="A1:N1"/>
    <mergeCell ref="D3:F3"/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opLeftCell="A3" zoomScaleNormal="100" workbookViewId="0">
      <selection activeCell="P16" sqref="P16"/>
    </sheetView>
  </sheetViews>
  <sheetFormatPr defaultColWidth="8.7109375" defaultRowHeight="15" x14ac:dyDescent="0.25"/>
  <cols>
    <col min="1" max="1" width="16.85546875" customWidth="1"/>
    <col min="2" max="2" width="7.140625" customWidth="1"/>
    <col min="3" max="3" width="8" customWidth="1"/>
    <col min="4" max="9" width="9" customWidth="1"/>
    <col min="10" max="10" width="12" customWidth="1"/>
    <col min="11" max="11" width="11" customWidth="1"/>
    <col min="12" max="12" width="9" customWidth="1"/>
  </cols>
  <sheetData>
    <row r="1" spans="1:12" ht="16.5" x14ac:dyDescent="0.25">
      <c r="A1" s="45" t="s">
        <v>79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x14ac:dyDescent="0.25">
      <c r="A2" s="42" t="s">
        <v>80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x14ac:dyDescent="0.25">
      <c r="A3" s="42" t="s">
        <v>81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5" spans="1:12" x14ac:dyDescent="0.25">
      <c r="A5" s="12" t="s">
        <v>82</v>
      </c>
    </row>
    <row r="6" spans="1:12" x14ac:dyDescent="0.25">
      <c r="A6" s="13" t="s">
        <v>83</v>
      </c>
      <c r="B6" s="14">
        <v>0.35</v>
      </c>
    </row>
    <row r="7" spans="1:12" x14ac:dyDescent="0.25">
      <c r="A7" s="13" t="s">
        <v>84</v>
      </c>
      <c r="B7" s="14">
        <v>0.34499999999999997</v>
      </c>
    </row>
    <row r="8" spans="1:12" x14ac:dyDescent="0.25">
      <c r="A8" s="13" t="s">
        <v>85</v>
      </c>
      <c r="B8" s="14">
        <v>0.44</v>
      </c>
    </row>
    <row r="9" spans="1:12" x14ac:dyDescent="0.25">
      <c r="A9" s="13" t="s">
        <v>86</v>
      </c>
      <c r="B9" s="14">
        <v>0.98</v>
      </c>
    </row>
    <row r="10" spans="1:12" x14ac:dyDescent="0.25">
      <c r="A10" s="13" t="s">
        <v>87</v>
      </c>
      <c r="B10" s="15">
        <v>0.2031</v>
      </c>
    </row>
    <row r="12" spans="1:12" ht="21.75" customHeight="1" x14ac:dyDescent="0.25">
      <c r="A12" s="4" t="s">
        <v>53</v>
      </c>
      <c r="B12" s="4" t="s">
        <v>54</v>
      </c>
      <c r="C12" s="4" t="s">
        <v>55</v>
      </c>
      <c r="D12" s="47" t="s">
        <v>56</v>
      </c>
      <c r="E12" s="47"/>
      <c r="F12" s="47" t="s">
        <v>175</v>
      </c>
      <c r="G12" s="47"/>
      <c r="H12" s="47" t="s">
        <v>57</v>
      </c>
      <c r="I12" s="47"/>
      <c r="J12" s="47" t="s">
        <v>88</v>
      </c>
      <c r="K12" s="47"/>
      <c r="L12" s="47"/>
    </row>
    <row r="13" spans="1:12" ht="21.75" customHeight="1" x14ac:dyDescent="0.25">
      <c r="A13" s="5"/>
      <c r="B13" s="5"/>
      <c r="C13" s="5"/>
      <c r="D13" s="5" t="s">
        <v>89</v>
      </c>
      <c r="E13" s="5" t="s">
        <v>90</v>
      </c>
      <c r="F13" s="5" t="s">
        <v>89</v>
      </c>
      <c r="G13" s="5" t="s">
        <v>90</v>
      </c>
      <c r="H13" s="5" t="s">
        <v>89</v>
      </c>
      <c r="I13" s="5" t="s">
        <v>90</v>
      </c>
      <c r="J13" s="5" t="s">
        <v>91</v>
      </c>
      <c r="K13" s="5" t="s">
        <v>92</v>
      </c>
      <c r="L13" s="5" t="s">
        <v>93</v>
      </c>
    </row>
    <row r="14" spans="1:12" x14ac:dyDescent="0.25">
      <c r="A14" s="6" t="s">
        <v>62</v>
      </c>
      <c r="B14" s="7">
        <v>2</v>
      </c>
      <c r="C14" s="7" t="s">
        <v>63</v>
      </c>
      <c r="D14" s="16">
        <f>('1_Charger_Configs'!D5*11*$B$6 + '1_Charger_Configs'!E5*60*$B$7 + '1_Charger_Configs'!F5*150*$B$8) / $B$9 / 1000</f>
        <v>0.20530612244897958</v>
      </c>
      <c r="E14" s="14">
        <f t="shared" ref="E14:E21" si="0">D14*$B$10</f>
        <v>4.1697673469387755E-2</v>
      </c>
      <c r="F14" s="16">
        <f>('1_Charger_Configs'!G5*11*$B$6 + '1_Charger_Configs'!H5*60*$B$7 + '1_Charger_Configs'!I5*150*$B$8) / $B$9 / 1000</f>
        <v>0.87974489795918365</v>
      </c>
      <c r="G14" s="14">
        <f t="shared" ref="G14:G21" si="1">F14*$B$10</f>
        <v>0.1786761887755102</v>
      </c>
      <c r="H14" s="17">
        <f>('1_Charger_Configs'!J5*11*$B$6 + '1_Charger_Configs'!K5*60*$B$7 + '1_Charger_Configs'!L5*150*$B$8) / $B$9 / 1000</f>
        <v>0.18295918367346939</v>
      </c>
      <c r="I14" s="17">
        <f t="shared" ref="I14:I21" si="2">H14*$B$10</f>
        <v>3.7159010204081633E-2</v>
      </c>
      <c r="J14" s="18">
        <v>587</v>
      </c>
      <c r="K14" s="18">
        <f t="shared" ref="K14:K21" si="3">H14*1000*0.98*1.2</f>
        <v>215.16</v>
      </c>
      <c r="L14" s="19">
        <f t="shared" ref="L14:L21" si="4">ABS(K14-J14)/J14*100</f>
        <v>63.345826235093703</v>
      </c>
    </row>
    <row r="15" spans="1:12" x14ac:dyDescent="0.25">
      <c r="A15" s="6" t="s">
        <v>64</v>
      </c>
      <c r="B15" s="7">
        <v>4</v>
      </c>
      <c r="C15" s="7" t="s">
        <v>65</v>
      </c>
      <c r="D15" s="16">
        <f>('1_Charger_Configs'!D6*11*$B$6 + '1_Charger_Configs'!E6*60*$B$7 + '1_Charger_Configs'!F6*150*$B$8) / $B$9 / 1000</f>
        <v>0.22790816326530611</v>
      </c>
      <c r="E15" s="14">
        <f t="shared" si="0"/>
        <v>4.6288147959183672E-2</v>
      </c>
      <c r="F15" s="16">
        <f>('1_Charger_Configs'!G6*11*$B$6 + '1_Charger_Configs'!H6*60*$B$7 + '1_Charger_Configs'!I6*150*$B$8) / $B$9 / 1000</f>
        <v>0.52806122448979587</v>
      </c>
      <c r="G15" s="14">
        <f t="shared" si="1"/>
        <v>0.10724923469387754</v>
      </c>
      <c r="H15" s="17">
        <f>('1_Charger_Configs'!J6*11*$B$6 + '1_Charger_Configs'!K6*60*$B$7 + '1_Charger_Configs'!L6*150*$B$8) / $B$9 / 1000</f>
        <v>0.22594387755102038</v>
      </c>
      <c r="I15" s="17">
        <f t="shared" si="2"/>
        <v>4.5889201530612239E-2</v>
      </c>
      <c r="J15" s="18">
        <v>665.4</v>
      </c>
      <c r="K15" s="18">
        <f t="shared" si="3"/>
        <v>265.70999999999998</v>
      </c>
      <c r="L15" s="19">
        <f t="shared" si="4"/>
        <v>60.067628494138873</v>
      </c>
    </row>
    <row r="16" spans="1:12" x14ac:dyDescent="0.25">
      <c r="A16" s="6" t="s">
        <v>66</v>
      </c>
      <c r="B16" s="7">
        <v>6</v>
      </c>
      <c r="C16" s="7" t="s">
        <v>67</v>
      </c>
      <c r="D16" s="16">
        <f>('1_Charger_Configs'!D7*11*$B$6 + '1_Charger_Configs'!E7*60*$B$7 + '1_Charger_Configs'!F7*150*$B$8) / $B$9 / 1000</f>
        <v>0.49071428571428571</v>
      </c>
      <c r="E16" s="14">
        <f t="shared" si="0"/>
        <v>9.9664071428571435E-2</v>
      </c>
      <c r="F16" s="16">
        <f>('1_Charger_Configs'!G7*11*$B$6 + '1_Charger_Configs'!H7*60*$B$7 + '1_Charger_Configs'!I7*150*$B$8) / $B$9 / 1000</f>
        <v>1.6823979591836733</v>
      </c>
      <c r="G16" s="14">
        <f t="shared" si="1"/>
        <v>0.34169502551020403</v>
      </c>
      <c r="H16" s="17">
        <f>('1_Charger_Configs'!J7*11*$B$6 + '1_Charger_Configs'!K7*60*$B$7 + '1_Charger_Configs'!L7*150*$B$8) / $B$9 / 1000</f>
        <v>0.73362244897959195</v>
      </c>
      <c r="I16" s="17">
        <f t="shared" si="2"/>
        <v>0.14899871938775514</v>
      </c>
      <c r="J16" s="18">
        <v>1838.2</v>
      </c>
      <c r="K16" s="18">
        <f t="shared" si="3"/>
        <v>862.74</v>
      </c>
      <c r="L16" s="19">
        <f t="shared" si="4"/>
        <v>53.066042868023068</v>
      </c>
    </row>
    <row r="17" spans="1:12" x14ac:dyDescent="0.25">
      <c r="A17" s="6" t="s">
        <v>68</v>
      </c>
      <c r="B17" s="7">
        <v>8</v>
      </c>
      <c r="C17" s="7" t="s">
        <v>69</v>
      </c>
      <c r="D17" s="16">
        <f>('1_Charger_Configs'!D8*11*$B$6 + '1_Charger_Configs'!E8*60*$B$7 + '1_Charger_Configs'!F8*150*$B$8) / $B$9 / 1000</f>
        <v>0.17387755102040814</v>
      </c>
      <c r="E17" s="14">
        <f t="shared" si="0"/>
        <v>3.531453061224489E-2</v>
      </c>
      <c r="F17" s="16">
        <f>('1_Charger_Configs'!G8*11*$B$6 + '1_Charger_Configs'!H8*60*$B$7 + '1_Charger_Configs'!I8*150*$B$8) / $B$9 / 1000</f>
        <v>0</v>
      </c>
      <c r="G17" s="14">
        <f t="shared" si="1"/>
        <v>0</v>
      </c>
      <c r="H17" s="17">
        <f>('1_Charger_Configs'!J8*11*$B$6 + '1_Charger_Configs'!K8*60*$B$7 + '1_Charger_Configs'!L8*150*$B$8) / $B$9 / 1000</f>
        <v>0.17289540816326529</v>
      </c>
      <c r="I17" s="17">
        <f t="shared" si="2"/>
        <v>3.5115057397959178E-2</v>
      </c>
      <c r="J17" s="18">
        <v>519.5</v>
      </c>
      <c r="K17" s="18">
        <f t="shared" si="3"/>
        <v>203.32499999999999</v>
      </c>
      <c r="L17" s="19">
        <f t="shared" si="4"/>
        <v>60.86140519730511</v>
      </c>
    </row>
    <row r="18" spans="1:12" x14ac:dyDescent="0.25">
      <c r="A18" s="6" t="s">
        <v>70</v>
      </c>
      <c r="B18" s="7">
        <v>10</v>
      </c>
      <c r="C18" s="7" t="s">
        <v>71</v>
      </c>
      <c r="D18" s="16">
        <f>('1_Charger_Configs'!D9*11*$B$6 + '1_Charger_Configs'!E9*60*$B$7 + '1_Charger_Configs'!F9*150*$B$8) / $B$9 / 1000</f>
        <v>0.25295918367346937</v>
      </c>
      <c r="E18" s="14">
        <f t="shared" si="0"/>
        <v>5.1376010204081626E-2</v>
      </c>
      <c r="F18" s="16">
        <f>('1_Charger_Configs'!G9*11*$B$6 + '1_Charger_Configs'!H9*60*$B$7 + '1_Charger_Configs'!I9*150*$B$8) / $B$9 / 1000</f>
        <v>1.7880102040816326</v>
      </c>
      <c r="G18" s="14">
        <f t="shared" si="1"/>
        <v>0.36314487244897958</v>
      </c>
      <c r="H18" s="17">
        <f>('1_Charger_Configs'!J9*11*$B$6 + '1_Charger_Configs'!K9*60*$B$7 + '1_Charger_Configs'!L9*150*$B$8) / $B$9 / 1000</f>
        <v>0.25295918367346937</v>
      </c>
      <c r="I18" s="17">
        <f t="shared" si="2"/>
        <v>5.1376010204081626E-2</v>
      </c>
      <c r="J18" s="18">
        <v>742.8</v>
      </c>
      <c r="K18" s="18">
        <f t="shared" si="3"/>
        <v>297.47999999999996</v>
      </c>
      <c r="L18" s="19">
        <f t="shared" si="4"/>
        <v>59.951534733441036</v>
      </c>
    </row>
    <row r="19" spans="1:12" x14ac:dyDescent="0.25">
      <c r="A19" s="6" t="s">
        <v>72</v>
      </c>
      <c r="B19" s="7">
        <v>13</v>
      </c>
      <c r="C19" s="7" t="s">
        <v>73</v>
      </c>
      <c r="D19" s="16">
        <f>('1_Charger_Configs'!D10*11*$B$6 + '1_Charger_Configs'!E10*60*$B$7 + '1_Charger_Configs'!F10*150*$B$8) / $B$9 / 1000</f>
        <v>0.1660204081632653</v>
      </c>
      <c r="E19" s="14">
        <f t="shared" si="0"/>
        <v>3.3718744897959181E-2</v>
      </c>
      <c r="F19" s="16">
        <f>('1_Charger_Configs'!G10*11*$B$6 + '1_Charger_Configs'!H10*60*$B$7 + '1_Charger_Configs'!I10*150*$B$8) / $B$9 / 1000</f>
        <v>5.4030612244897962E-2</v>
      </c>
      <c r="G19" s="14">
        <f t="shared" si="1"/>
        <v>1.0973617346938776E-2</v>
      </c>
      <c r="H19" s="17">
        <f>('1_Charger_Configs'!J10*11*$B$6 + '1_Charger_Configs'!K10*60*$B$7 + '1_Charger_Configs'!L10*150*$B$8) / $B$9 / 1000</f>
        <v>0.15644132653061227</v>
      </c>
      <c r="I19" s="17">
        <f t="shared" si="2"/>
        <v>3.1773233418367353E-2</v>
      </c>
      <c r="J19" s="18">
        <v>462.3</v>
      </c>
      <c r="K19" s="18">
        <f t="shared" si="3"/>
        <v>183.97499999999999</v>
      </c>
      <c r="L19" s="19">
        <f t="shared" si="4"/>
        <v>60.204412719013632</v>
      </c>
    </row>
    <row r="20" spans="1:12" x14ac:dyDescent="0.25">
      <c r="A20" s="6" t="s">
        <v>74</v>
      </c>
      <c r="B20" s="7">
        <v>14</v>
      </c>
      <c r="C20" s="7" t="s">
        <v>75</v>
      </c>
      <c r="D20" s="16">
        <f>('1_Charger_Configs'!D11*11*$B$6 + '1_Charger_Configs'!E11*60*$B$7 + '1_Charger_Configs'!F11*150*$B$8) / $B$9 / 1000</f>
        <v>0.73908163265306126</v>
      </c>
      <c r="E20" s="14">
        <f t="shared" si="0"/>
        <v>0.15010747959183673</v>
      </c>
      <c r="F20" s="16">
        <f>('1_Charger_Configs'!G11*11*$B$6 + '1_Charger_Configs'!H11*60*$B$7 + '1_Charger_Configs'!I11*150*$B$8) / $B$9 / 1000</f>
        <v>0.62933673469387763</v>
      </c>
      <c r="G20" s="14">
        <f t="shared" si="1"/>
        <v>0.12781829081632654</v>
      </c>
      <c r="H20" s="17">
        <f>('1_Charger_Configs'!J11*11*$B$6 + '1_Charger_Configs'!K11*60*$B$7 + '1_Charger_Configs'!L11*150*$B$8) / $B$9 / 1000</f>
        <v>0.3130484693877551</v>
      </c>
      <c r="I20" s="17">
        <f t="shared" si="2"/>
        <v>6.358014413265306E-2</v>
      </c>
      <c r="J20" s="18">
        <v>801.5</v>
      </c>
      <c r="K20" s="18">
        <f t="shared" si="3"/>
        <v>368.14500000000004</v>
      </c>
      <c r="L20" s="19">
        <f t="shared" si="4"/>
        <v>54.067997504678722</v>
      </c>
    </row>
    <row r="21" spans="1:12" x14ac:dyDescent="0.25">
      <c r="A21" s="6" t="s">
        <v>76</v>
      </c>
      <c r="B21" s="7">
        <v>15</v>
      </c>
      <c r="C21" s="7" t="s">
        <v>77</v>
      </c>
      <c r="D21" s="16">
        <f>('1_Charger_Configs'!D12*11*$B$6 + '1_Charger_Configs'!E12*60*$B$7 + '1_Charger_Configs'!F12*150*$B$8) / $B$9 / 1000</f>
        <v>0.18714285714285711</v>
      </c>
      <c r="E21" s="14">
        <f t="shared" si="0"/>
        <v>3.8008714285714278E-2</v>
      </c>
      <c r="F21" s="16">
        <f>('1_Charger_Configs'!G12*11*$B$6 + '1_Charger_Configs'!H12*60*$B$7 + '1_Charger_Configs'!I12*150*$B$8) / $B$9 / 1000</f>
        <v>0</v>
      </c>
      <c r="G21" s="14">
        <f t="shared" si="1"/>
        <v>0</v>
      </c>
      <c r="H21" s="17">
        <f>('1_Charger_Configs'!J12*11*$B$6 + '1_Charger_Configs'!K12*60*$B$7 + '1_Charger_Configs'!L12*150*$B$8) / $B$9 / 1000</f>
        <v>0.1765816326530612</v>
      </c>
      <c r="I21" s="17">
        <f t="shared" si="2"/>
        <v>3.5863729591836729E-2</v>
      </c>
      <c r="J21" s="18">
        <v>508.1</v>
      </c>
      <c r="K21" s="18">
        <f t="shared" si="3"/>
        <v>207.65999999999997</v>
      </c>
      <c r="L21" s="19">
        <f t="shared" si="4"/>
        <v>59.130092501476092</v>
      </c>
    </row>
    <row r="22" spans="1:12" x14ac:dyDescent="0.25">
      <c r="A22" s="3" t="s">
        <v>78</v>
      </c>
      <c r="D22" s="20">
        <f t="shared" ref="D22:I22" si="5">SUM(D14:D21)</f>
        <v>2.4430102040816331</v>
      </c>
      <c r="E22" s="20">
        <f t="shared" si="5"/>
        <v>0.49617537244897952</v>
      </c>
      <c r="F22" s="20">
        <f t="shared" si="5"/>
        <v>5.5615816326530609</v>
      </c>
      <c r="G22" s="20">
        <f t="shared" si="5"/>
        <v>1.1295572295918368</v>
      </c>
      <c r="H22" s="20">
        <f t="shared" si="5"/>
        <v>2.2144515306122448</v>
      </c>
      <c r="I22" s="20">
        <f t="shared" si="5"/>
        <v>0.4497551058673469</v>
      </c>
    </row>
    <row r="24" spans="1:12" x14ac:dyDescent="0.25">
      <c r="A24" s="42" t="s">
        <v>94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</sheetData>
  <mergeCells count="8">
    <mergeCell ref="A24:L24"/>
    <mergeCell ref="A1:L1"/>
    <mergeCell ref="A2:L2"/>
    <mergeCell ref="A3:L3"/>
    <mergeCell ref="D12:E12"/>
    <mergeCell ref="F12:G12"/>
    <mergeCell ref="H12:I12"/>
    <mergeCell ref="J12:L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Normal="100" workbookViewId="0">
      <selection activeCell="F15" sqref="F15"/>
    </sheetView>
  </sheetViews>
  <sheetFormatPr defaultColWidth="8.7109375" defaultRowHeight="15" x14ac:dyDescent="0.25"/>
  <cols>
    <col min="1" max="1" width="4" customWidth="1"/>
    <col min="2" max="2" width="12" customWidth="1"/>
    <col min="3" max="4" width="14" customWidth="1"/>
    <col min="5" max="5" width="11" customWidth="1"/>
    <col min="6" max="6" width="45" customWidth="1"/>
    <col min="7" max="7" width="11" customWidth="1"/>
    <col min="8" max="8" width="14" customWidth="1"/>
  </cols>
  <sheetData>
    <row r="1" spans="1:8" ht="16.5" x14ac:dyDescent="0.25">
      <c r="A1" s="45" t="s">
        <v>95</v>
      </c>
      <c r="B1" s="45"/>
      <c r="C1" s="45"/>
      <c r="D1" s="45"/>
      <c r="E1" s="45"/>
      <c r="F1" s="45"/>
      <c r="G1" s="45"/>
      <c r="H1" s="45"/>
    </row>
    <row r="3" spans="1:8" ht="21.75" customHeight="1" x14ac:dyDescent="0.25">
      <c r="A3" s="4" t="s">
        <v>96</v>
      </c>
      <c r="B3" s="4" t="s">
        <v>97</v>
      </c>
      <c r="C3" s="4" t="s">
        <v>98</v>
      </c>
      <c r="D3" s="4" t="s">
        <v>99</v>
      </c>
      <c r="E3" s="4" t="s">
        <v>100</v>
      </c>
      <c r="F3" s="4" t="s">
        <v>101</v>
      </c>
      <c r="G3" s="4" t="s">
        <v>102</v>
      </c>
      <c r="H3" s="4" t="s">
        <v>58</v>
      </c>
    </row>
    <row r="4" spans="1:8" x14ac:dyDescent="0.25">
      <c r="A4" s="22">
        <v>1</v>
      </c>
      <c r="B4" s="22" t="s">
        <v>103</v>
      </c>
      <c r="C4" s="23" t="s">
        <v>56</v>
      </c>
      <c r="D4" s="22" t="s">
        <v>104</v>
      </c>
      <c r="E4" s="22">
        <v>1</v>
      </c>
      <c r="F4" s="23" t="s">
        <v>105</v>
      </c>
      <c r="G4" s="22" t="s">
        <v>110</v>
      </c>
      <c r="H4" s="24" t="s">
        <v>111</v>
      </c>
    </row>
    <row r="5" spans="1:8" x14ac:dyDescent="0.25">
      <c r="A5" s="22">
        <v>2</v>
      </c>
      <c r="B5" s="22" t="s">
        <v>107</v>
      </c>
      <c r="C5" s="23" t="s">
        <v>175</v>
      </c>
      <c r="D5" s="22" t="s">
        <v>104</v>
      </c>
      <c r="E5" s="22">
        <v>1</v>
      </c>
      <c r="F5" s="23" t="s">
        <v>105</v>
      </c>
      <c r="G5" s="22" t="s">
        <v>110</v>
      </c>
      <c r="H5" s="24" t="s">
        <v>111</v>
      </c>
    </row>
    <row r="6" spans="1:8" x14ac:dyDescent="0.25">
      <c r="A6" s="22">
        <v>3</v>
      </c>
      <c r="B6" s="22" t="s">
        <v>108</v>
      </c>
      <c r="C6" s="23" t="s">
        <v>57</v>
      </c>
      <c r="D6" s="22" t="s">
        <v>104</v>
      </c>
      <c r="E6" s="22">
        <v>1</v>
      </c>
      <c r="F6" s="23" t="s">
        <v>109</v>
      </c>
      <c r="G6" s="22" t="s">
        <v>110</v>
      </c>
      <c r="H6" s="24" t="s">
        <v>111</v>
      </c>
    </row>
    <row r="7" spans="1:8" x14ac:dyDescent="0.25">
      <c r="A7" s="22">
        <v>4</v>
      </c>
      <c r="B7" s="22" t="s">
        <v>112</v>
      </c>
      <c r="C7" s="23" t="s">
        <v>56</v>
      </c>
      <c r="D7" s="22" t="s">
        <v>113</v>
      </c>
      <c r="E7" s="22">
        <v>1</v>
      </c>
      <c r="F7" s="23" t="s">
        <v>114</v>
      </c>
      <c r="G7" s="22" t="s">
        <v>106</v>
      </c>
      <c r="H7" s="24" t="s">
        <v>111</v>
      </c>
    </row>
    <row r="8" spans="1:8" x14ac:dyDescent="0.25">
      <c r="A8" s="22">
        <v>5</v>
      </c>
      <c r="B8" s="22" t="s">
        <v>115</v>
      </c>
      <c r="C8" s="23" t="s">
        <v>175</v>
      </c>
      <c r="D8" s="22" t="s">
        <v>113</v>
      </c>
      <c r="E8" s="22">
        <v>1</v>
      </c>
      <c r="F8" s="23" t="s">
        <v>114</v>
      </c>
      <c r="G8" s="22" t="s">
        <v>106</v>
      </c>
      <c r="H8" s="24" t="s">
        <v>111</v>
      </c>
    </row>
    <row r="9" spans="1:8" x14ac:dyDescent="0.25">
      <c r="A9" s="22">
        <v>6</v>
      </c>
      <c r="B9" s="22" t="s">
        <v>116</v>
      </c>
      <c r="C9" s="23" t="s">
        <v>57</v>
      </c>
      <c r="D9" s="22" t="s">
        <v>113</v>
      </c>
      <c r="E9" s="22">
        <v>1</v>
      </c>
      <c r="F9" s="23" t="s">
        <v>114</v>
      </c>
      <c r="G9" s="22" t="s">
        <v>106</v>
      </c>
      <c r="H9" s="24" t="s">
        <v>111</v>
      </c>
    </row>
    <row r="10" spans="1:8" x14ac:dyDescent="0.25">
      <c r="A10" s="22">
        <v>7</v>
      </c>
      <c r="B10" s="22" t="s">
        <v>117</v>
      </c>
      <c r="C10" s="23" t="s">
        <v>56</v>
      </c>
      <c r="D10" s="22" t="s">
        <v>118</v>
      </c>
      <c r="E10" s="22">
        <v>1</v>
      </c>
      <c r="F10" s="23" t="s">
        <v>119</v>
      </c>
      <c r="G10" s="22" t="s">
        <v>106</v>
      </c>
      <c r="H10" s="24" t="s">
        <v>111</v>
      </c>
    </row>
    <row r="11" spans="1:8" x14ac:dyDescent="0.25">
      <c r="A11" s="22">
        <v>8</v>
      </c>
      <c r="B11" s="22" t="s">
        <v>120</v>
      </c>
      <c r="C11" s="23" t="s">
        <v>175</v>
      </c>
      <c r="D11" s="22" t="s">
        <v>118</v>
      </c>
      <c r="E11" s="22">
        <v>1</v>
      </c>
      <c r="F11" s="23" t="s">
        <v>119</v>
      </c>
      <c r="G11" s="22" t="s">
        <v>106</v>
      </c>
      <c r="H11" s="24" t="s">
        <v>111</v>
      </c>
    </row>
    <row r="12" spans="1:8" x14ac:dyDescent="0.25">
      <c r="A12" s="22">
        <v>9</v>
      </c>
      <c r="B12" s="22" t="s">
        <v>121</v>
      </c>
      <c r="C12" s="23" t="s">
        <v>57</v>
      </c>
      <c r="D12" s="22" t="s">
        <v>118</v>
      </c>
      <c r="E12" s="22">
        <v>1</v>
      </c>
      <c r="F12" s="23" t="s">
        <v>119</v>
      </c>
      <c r="G12" s="22" t="s">
        <v>106</v>
      </c>
      <c r="H12" s="24" t="s">
        <v>111</v>
      </c>
    </row>
    <row r="13" spans="1:8" x14ac:dyDescent="0.25">
      <c r="A13" s="22">
        <v>10</v>
      </c>
      <c r="B13" s="22" t="s">
        <v>122</v>
      </c>
      <c r="C13" s="23" t="s">
        <v>56</v>
      </c>
      <c r="D13" s="22" t="s">
        <v>104</v>
      </c>
      <c r="E13" s="22">
        <v>1.2</v>
      </c>
      <c r="F13" s="23" t="s">
        <v>123</v>
      </c>
      <c r="G13" s="22" t="s">
        <v>124</v>
      </c>
      <c r="H13" s="24" t="s">
        <v>111</v>
      </c>
    </row>
    <row r="14" spans="1:8" x14ac:dyDescent="0.25">
      <c r="A14" s="22">
        <v>11</v>
      </c>
      <c r="B14" s="22" t="s">
        <v>125</v>
      </c>
      <c r="C14" s="23" t="s">
        <v>175</v>
      </c>
      <c r="D14" s="22" t="s">
        <v>104</v>
      </c>
      <c r="E14" s="22">
        <v>1.2</v>
      </c>
      <c r="F14" s="23" t="s">
        <v>123</v>
      </c>
      <c r="G14" s="22" t="s">
        <v>124</v>
      </c>
      <c r="H14" s="24" t="s">
        <v>111</v>
      </c>
    </row>
    <row r="15" spans="1:8" x14ac:dyDescent="0.25">
      <c r="A15" s="22">
        <v>12</v>
      </c>
      <c r="B15" s="22" t="s">
        <v>126</v>
      </c>
      <c r="C15" s="23" t="s">
        <v>57</v>
      </c>
      <c r="D15" s="22" t="s">
        <v>104</v>
      </c>
      <c r="E15" s="22">
        <v>1.2</v>
      </c>
      <c r="F15" s="23" t="s">
        <v>123</v>
      </c>
      <c r="G15" s="22" t="s">
        <v>124</v>
      </c>
      <c r="H15" s="24" t="s">
        <v>111</v>
      </c>
    </row>
    <row r="16" spans="1:8" x14ac:dyDescent="0.25">
      <c r="A16" s="22">
        <v>13</v>
      </c>
      <c r="B16" s="22" t="s">
        <v>127</v>
      </c>
      <c r="C16" s="23" t="s">
        <v>56</v>
      </c>
      <c r="D16" s="22" t="s">
        <v>104</v>
      </c>
      <c r="E16" s="22">
        <v>1.5</v>
      </c>
      <c r="F16" s="23" t="s">
        <v>128</v>
      </c>
      <c r="G16" s="22" t="s">
        <v>124</v>
      </c>
      <c r="H16" s="24" t="s">
        <v>111</v>
      </c>
    </row>
    <row r="17" spans="1:8" x14ac:dyDescent="0.25">
      <c r="A17" s="22">
        <v>14</v>
      </c>
      <c r="B17" s="22" t="s">
        <v>129</v>
      </c>
      <c r="C17" s="23" t="s">
        <v>175</v>
      </c>
      <c r="D17" s="22" t="s">
        <v>104</v>
      </c>
      <c r="E17" s="22">
        <v>1.5</v>
      </c>
      <c r="F17" s="23" t="s">
        <v>128</v>
      </c>
      <c r="G17" s="22" t="s">
        <v>124</v>
      </c>
      <c r="H17" s="24" t="s">
        <v>111</v>
      </c>
    </row>
    <row r="18" spans="1:8" x14ac:dyDescent="0.25">
      <c r="A18" s="22">
        <v>15</v>
      </c>
      <c r="B18" s="22" t="s">
        <v>130</v>
      </c>
      <c r="C18" s="23" t="s">
        <v>57</v>
      </c>
      <c r="D18" s="22" t="s">
        <v>104</v>
      </c>
      <c r="E18" s="22">
        <v>1.5</v>
      </c>
      <c r="F18" s="23" t="s">
        <v>128</v>
      </c>
      <c r="G18" s="22" t="s">
        <v>124</v>
      </c>
      <c r="H18" s="24" t="s">
        <v>111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7"/>
  <sheetViews>
    <sheetView zoomScaleNormal="100" workbookViewId="0">
      <pane ySplit="5" topLeftCell="A6" activePane="bottomLeft" state="frozen"/>
      <selection pane="bottomLeft" activeCell="B6" sqref="B6:B20"/>
    </sheetView>
  </sheetViews>
  <sheetFormatPr defaultColWidth="8.7109375" defaultRowHeight="15" x14ac:dyDescent="0.25"/>
  <cols>
    <col min="1" max="1" width="9" customWidth="1"/>
    <col min="2" max="2" width="12" customWidth="1"/>
    <col min="3" max="3" width="14" customWidth="1"/>
    <col min="4" max="4" width="6" customWidth="1"/>
    <col min="5" max="20" width="8" customWidth="1"/>
  </cols>
  <sheetData>
    <row r="1" spans="1:21" ht="16.5" x14ac:dyDescent="0.25">
      <c r="A1" s="45" t="s">
        <v>131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1" x14ac:dyDescent="0.25">
      <c r="A2" s="42" t="s">
        <v>132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4" spans="1:21" ht="40.5" customHeight="1" x14ac:dyDescent="0.25">
      <c r="A4" s="47" t="s">
        <v>133</v>
      </c>
      <c r="B4" s="47" t="s">
        <v>134</v>
      </c>
      <c r="C4" s="47" t="s">
        <v>135</v>
      </c>
      <c r="D4" s="47" t="s">
        <v>136</v>
      </c>
      <c r="E4" s="46" t="s">
        <v>137</v>
      </c>
      <c r="F4" s="46"/>
      <c r="G4" s="46" t="s">
        <v>138</v>
      </c>
      <c r="H4" s="46"/>
      <c r="I4" s="46" t="s">
        <v>139</v>
      </c>
      <c r="J4" s="46"/>
      <c r="K4" s="46" t="s">
        <v>140</v>
      </c>
      <c r="L4" s="46"/>
      <c r="M4" s="46" t="s">
        <v>141</v>
      </c>
      <c r="N4" s="46"/>
      <c r="O4" s="46" t="s">
        <v>142</v>
      </c>
      <c r="P4" s="46"/>
      <c r="Q4" s="46" t="s">
        <v>143</v>
      </c>
      <c r="R4" s="46"/>
      <c r="S4" s="46" t="s">
        <v>144</v>
      </c>
      <c r="T4" s="46"/>
    </row>
    <row r="5" spans="1:21" ht="18" customHeight="1" x14ac:dyDescent="0.25">
      <c r="A5" s="47"/>
      <c r="B5" s="47"/>
      <c r="C5" s="47"/>
      <c r="D5" s="47"/>
      <c r="E5" s="25" t="s">
        <v>89</v>
      </c>
      <c r="F5" s="26" t="s">
        <v>90</v>
      </c>
      <c r="G5" s="25" t="s">
        <v>89</v>
      </c>
      <c r="H5" s="26" t="s">
        <v>90</v>
      </c>
      <c r="I5" s="25" t="s">
        <v>89</v>
      </c>
      <c r="J5" s="26" t="s">
        <v>90</v>
      </c>
      <c r="K5" s="25" t="s">
        <v>89</v>
      </c>
      <c r="L5" s="26" t="s">
        <v>90</v>
      </c>
      <c r="M5" s="25" t="s">
        <v>89</v>
      </c>
      <c r="N5" s="26" t="s">
        <v>90</v>
      </c>
      <c r="O5" s="25" t="s">
        <v>89</v>
      </c>
      <c r="P5" s="26" t="s">
        <v>90</v>
      </c>
      <c r="Q5" s="25" t="s">
        <v>89</v>
      </c>
      <c r="R5" s="26" t="s">
        <v>90</v>
      </c>
      <c r="S5" s="25" t="s">
        <v>89</v>
      </c>
      <c r="T5" s="26" t="s">
        <v>90</v>
      </c>
    </row>
    <row r="6" spans="1:21" x14ac:dyDescent="0.25">
      <c r="A6" s="8" t="s">
        <v>103</v>
      </c>
      <c r="B6" s="8" t="s">
        <v>56</v>
      </c>
      <c r="C6" s="8" t="s">
        <v>104</v>
      </c>
      <c r="D6" s="8">
        <v>1</v>
      </c>
      <c r="E6" s="16">
        <f>'2_EVCS_Loads'!D14*1</f>
        <v>0.20530612244897958</v>
      </c>
      <c r="F6" s="14">
        <f>'2_EVCS_Loads'!E14*1</f>
        <v>4.1697673469387755E-2</v>
      </c>
      <c r="G6" s="16">
        <f>'2_EVCS_Loads'!D15*1</f>
        <v>0.22790816326530611</v>
      </c>
      <c r="H6" s="14">
        <f>'2_EVCS_Loads'!E15*1</f>
        <v>4.6288147959183672E-2</v>
      </c>
      <c r="I6" s="16">
        <f>'2_EVCS_Loads'!D16*1</f>
        <v>0.49071428571428571</v>
      </c>
      <c r="J6" s="14">
        <f>'2_EVCS_Loads'!E16*1</f>
        <v>9.9664071428571435E-2</v>
      </c>
      <c r="K6" s="16">
        <f>'2_EVCS_Loads'!D17*1</f>
        <v>0.17387755102040814</v>
      </c>
      <c r="L6" s="14">
        <f>'2_EVCS_Loads'!E17*1</f>
        <v>3.531453061224489E-2</v>
      </c>
      <c r="M6" s="16">
        <f>'2_EVCS_Loads'!D18*1</f>
        <v>0.25295918367346937</v>
      </c>
      <c r="N6" s="14">
        <f>'2_EVCS_Loads'!E18*1</f>
        <v>5.1376010204081626E-2</v>
      </c>
      <c r="O6" s="16">
        <f>'2_EVCS_Loads'!D19*1</f>
        <v>0.1660204081632653</v>
      </c>
      <c r="P6" s="14">
        <f>'2_EVCS_Loads'!E19*1</f>
        <v>3.3718744897959181E-2</v>
      </c>
      <c r="Q6" s="16">
        <f>'2_EVCS_Loads'!D20*1</f>
        <v>0.73908163265306126</v>
      </c>
      <c r="R6" s="14">
        <f>'2_EVCS_Loads'!E20*1</f>
        <v>0.15010747959183673</v>
      </c>
      <c r="S6" s="16">
        <f>'2_EVCS_Loads'!D21*1</f>
        <v>0.18714285714285711</v>
      </c>
      <c r="T6" s="14">
        <f>'2_EVCS_Loads'!E21*1</f>
        <v>3.8008714285714278E-2</v>
      </c>
      <c r="U6" t="s">
        <v>110</v>
      </c>
    </row>
    <row r="7" spans="1:21" x14ac:dyDescent="0.25">
      <c r="A7" s="8" t="s">
        <v>107</v>
      </c>
      <c r="B7" s="8" t="s">
        <v>175</v>
      </c>
      <c r="C7" s="8" t="s">
        <v>104</v>
      </c>
      <c r="D7" s="8">
        <v>1</v>
      </c>
      <c r="E7" s="16">
        <f>'2_EVCS_Loads'!F14*1</f>
        <v>0.87974489795918365</v>
      </c>
      <c r="F7" s="14">
        <f>'2_EVCS_Loads'!G14*1</f>
        <v>0.1786761887755102</v>
      </c>
      <c r="G7" s="16">
        <f>'2_EVCS_Loads'!F15*1</f>
        <v>0.52806122448979587</v>
      </c>
      <c r="H7" s="14">
        <f>'2_EVCS_Loads'!G15*1</f>
        <v>0.10724923469387754</v>
      </c>
      <c r="I7" s="16">
        <f>'2_EVCS_Loads'!F16*1</f>
        <v>1.6823979591836733</v>
      </c>
      <c r="J7" s="14">
        <f>'2_EVCS_Loads'!G16*1</f>
        <v>0.34169502551020403</v>
      </c>
      <c r="K7" s="27">
        <f>'2_EVCS_Loads'!F17*1</f>
        <v>0</v>
      </c>
      <c r="L7" s="27">
        <f>'2_EVCS_Loads'!G17*1</f>
        <v>0</v>
      </c>
      <c r="M7" s="16">
        <f>'2_EVCS_Loads'!F18*1</f>
        <v>1.7880102040816326</v>
      </c>
      <c r="N7" s="14">
        <f>'2_EVCS_Loads'!G18*1</f>
        <v>0.36314487244897958</v>
      </c>
      <c r="O7" s="16">
        <f>'2_EVCS_Loads'!F19*1</f>
        <v>5.4030612244897962E-2</v>
      </c>
      <c r="P7" s="14">
        <f>'2_EVCS_Loads'!G19*1</f>
        <v>1.0973617346938776E-2</v>
      </c>
      <c r="Q7" s="16">
        <f>'2_EVCS_Loads'!F20*1</f>
        <v>0.62933673469387763</v>
      </c>
      <c r="R7" s="14">
        <f>'2_EVCS_Loads'!G20*1</f>
        <v>0.12781829081632654</v>
      </c>
      <c r="S7" s="27">
        <f>'2_EVCS_Loads'!F21*1</f>
        <v>0</v>
      </c>
      <c r="T7" s="27">
        <f>'2_EVCS_Loads'!G21*1</f>
        <v>0</v>
      </c>
      <c r="U7" t="s">
        <v>110</v>
      </c>
    </row>
    <row r="8" spans="1:21" x14ac:dyDescent="0.25">
      <c r="A8" s="8" t="s">
        <v>108</v>
      </c>
      <c r="B8" s="8" t="s">
        <v>57</v>
      </c>
      <c r="C8" s="8" t="s">
        <v>104</v>
      </c>
      <c r="D8" s="8">
        <v>1</v>
      </c>
      <c r="E8" s="16">
        <f>'2_EVCS_Loads'!H14*1</f>
        <v>0.18295918367346939</v>
      </c>
      <c r="F8" s="14">
        <f>'2_EVCS_Loads'!I14*1</f>
        <v>3.7159010204081633E-2</v>
      </c>
      <c r="G8" s="16">
        <f>'2_EVCS_Loads'!H15*1</f>
        <v>0.22594387755102038</v>
      </c>
      <c r="H8" s="14">
        <f>'2_EVCS_Loads'!I15*1</f>
        <v>4.5889201530612239E-2</v>
      </c>
      <c r="I8" s="16">
        <f>'2_EVCS_Loads'!H16*1</f>
        <v>0.73362244897959195</v>
      </c>
      <c r="J8" s="14">
        <f>'2_EVCS_Loads'!I16*1</f>
        <v>0.14899871938775514</v>
      </c>
      <c r="K8" s="16">
        <f>'2_EVCS_Loads'!H17*1</f>
        <v>0.17289540816326529</v>
      </c>
      <c r="L8" s="14">
        <f>'2_EVCS_Loads'!I17*1</f>
        <v>3.5115057397959178E-2</v>
      </c>
      <c r="M8" s="16">
        <f>'2_EVCS_Loads'!H18*1</f>
        <v>0.25295918367346937</v>
      </c>
      <c r="N8" s="14">
        <f>'2_EVCS_Loads'!I18*1</f>
        <v>5.1376010204081626E-2</v>
      </c>
      <c r="O8" s="16">
        <f>'2_EVCS_Loads'!H19*1</f>
        <v>0.15644132653061227</v>
      </c>
      <c r="P8" s="14">
        <f>'2_EVCS_Loads'!I19*1</f>
        <v>3.1773233418367353E-2</v>
      </c>
      <c r="Q8" s="16">
        <f>'2_EVCS_Loads'!H20*1</f>
        <v>0.3130484693877551</v>
      </c>
      <c r="R8" s="14">
        <f>'2_EVCS_Loads'!I20*1</f>
        <v>6.358014413265306E-2</v>
      </c>
      <c r="S8" s="16">
        <f>'2_EVCS_Loads'!H21*1</f>
        <v>0.1765816326530612</v>
      </c>
      <c r="T8" s="14">
        <f>'2_EVCS_Loads'!I21*1</f>
        <v>3.5863729591836729E-2</v>
      </c>
      <c r="U8" t="s">
        <v>110</v>
      </c>
    </row>
    <row r="9" spans="1:21" x14ac:dyDescent="0.25">
      <c r="A9" s="8" t="s">
        <v>112</v>
      </c>
      <c r="B9" s="8" t="s">
        <v>56</v>
      </c>
      <c r="C9" s="8" t="s">
        <v>113</v>
      </c>
      <c r="D9" s="8">
        <v>1</v>
      </c>
      <c r="E9" s="16">
        <f>'2_EVCS_Loads'!D14*1</f>
        <v>0.20530612244897958</v>
      </c>
      <c r="F9" s="14">
        <f>'2_EVCS_Loads'!E14*1</f>
        <v>4.1697673469387755E-2</v>
      </c>
      <c r="G9" s="16">
        <f>'2_EVCS_Loads'!D15*1</f>
        <v>0.22790816326530611</v>
      </c>
      <c r="H9" s="14">
        <f>'2_EVCS_Loads'!E15*1</f>
        <v>4.6288147959183672E-2</v>
      </c>
      <c r="I9" s="16">
        <f>'2_EVCS_Loads'!D16*1</f>
        <v>0.49071428571428571</v>
      </c>
      <c r="J9" s="14">
        <f>'2_EVCS_Loads'!E16*1</f>
        <v>9.9664071428571435E-2</v>
      </c>
      <c r="K9" s="16">
        <f>'2_EVCS_Loads'!D17*1</f>
        <v>0.17387755102040814</v>
      </c>
      <c r="L9" s="14">
        <f>'2_EVCS_Loads'!E17*1</f>
        <v>3.531453061224489E-2</v>
      </c>
      <c r="M9" s="16">
        <f>'2_EVCS_Loads'!D18*1</f>
        <v>0.25295918367346937</v>
      </c>
      <c r="N9" s="14">
        <f>'2_EVCS_Loads'!E18*1</f>
        <v>5.1376010204081626E-2</v>
      </c>
      <c r="O9" s="16">
        <f>'2_EVCS_Loads'!D19*1</f>
        <v>0.1660204081632653</v>
      </c>
      <c r="P9" s="14">
        <f>'2_EVCS_Loads'!E19*1</f>
        <v>3.3718744897959181E-2</v>
      </c>
      <c r="Q9" s="16">
        <f>'2_EVCS_Loads'!D20*1</f>
        <v>0.73908163265306126</v>
      </c>
      <c r="R9" s="14">
        <f>'2_EVCS_Loads'!E20*1</f>
        <v>0.15010747959183673</v>
      </c>
      <c r="S9" s="16">
        <f>'2_EVCS_Loads'!D21*1</f>
        <v>0.18714285714285711</v>
      </c>
      <c r="T9" s="14">
        <f>'2_EVCS_Loads'!E21*1</f>
        <v>3.8008714285714278E-2</v>
      </c>
      <c r="U9" t="s">
        <v>110</v>
      </c>
    </row>
    <row r="10" spans="1:21" x14ac:dyDescent="0.25">
      <c r="A10" s="8" t="s">
        <v>115</v>
      </c>
      <c r="B10" s="8" t="s">
        <v>175</v>
      </c>
      <c r="C10" s="8" t="s">
        <v>113</v>
      </c>
      <c r="D10" s="8">
        <v>1</v>
      </c>
      <c r="E10" s="16">
        <f>'2_EVCS_Loads'!F14*1</f>
        <v>0.87974489795918365</v>
      </c>
      <c r="F10" s="14">
        <f>'2_EVCS_Loads'!G14*1</f>
        <v>0.1786761887755102</v>
      </c>
      <c r="G10" s="16">
        <f>'2_EVCS_Loads'!F15*1</f>
        <v>0.52806122448979587</v>
      </c>
      <c r="H10" s="14">
        <f>'2_EVCS_Loads'!G15*1</f>
        <v>0.10724923469387754</v>
      </c>
      <c r="I10" s="16">
        <f>'2_EVCS_Loads'!F16*1</f>
        <v>1.6823979591836733</v>
      </c>
      <c r="J10" s="14">
        <f>'2_EVCS_Loads'!G16*1</f>
        <v>0.34169502551020403</v>
      </c>
      <c r="K10" s="27">
        <f>'2_EVCS_Loads'!F17*1</f>
        <v>0</v>
      </c>
      <c r="L10" s="27">
        <f>'2_EVCS_Loads'!G17*1</f>
        <v>0</v>
      </c>
      <c r="M10" s="16">
        <f>'2_EVCS_Loads'!F18*1</f>
        <v>1.7880102040816326</v>
      </c>
      <c r="N10" s="14">
        <f>'2_EVCS_Loads'!G18*1</f>
        <v>0.36314487244897958</v>
      </c>
      <c r="O10" s="16">
        <f>'2_EVCS_Loads'!F19*1</f>
        <v>5.4030612244897962E-2</v>
      </c>
      <c r="P10" s="14">
        <f>'2_EVCS_Loads'!G19*1</f>
        <v>1.0973617346938776E-2</v>
      </c>
      <c r="Q10" s="16">
        <f>'2_EVCS_Loads'!F20*1</f>
        <v>0.62933673469387763</v>
      </c>
      <c r="R10" s="14">
        <f>'2_EVCS_Loads'!G20*1</f>
        <v>0.12781829081632654</v>
      </c>
      <c r="S10" s="27">
        <f>'2_EVCS_Loads'!F21*1</f>
        <v>0</v>
      </c>
      <c r="T10" s="27">
        <f>'2_EVCS_Loads'!G21*1</f>
        <v>0</v>
      </c>
      <c r="U10" t="s">
        <v>110</v>
      </c>
    </row>
    <row r="11" spans="1:21" x14ac:dyDescent="0.25">
      <c r="A11" s="8" t="s">
        <v>116</v>
      </c>
      <c r="B11" s="8" t="s">
        <v>57</v>
      </c>
      <c r="C11" s="8" t="s">
        <v>113</v>
      </c>
      <c r="D11" s="8">
        <v>1</v>
      </c>
      <c r="E11" s="16">
        <f>'2_EVCS_Loads'!H14*1</f>
        <v>0.18295918367346939</v>
      </c>
      <c r="F11" s="14">
        <f>'2_EVCS_Loads'!I14*1</f>
        <v>3.7159010204081633E-2</v>
      </c>
      <c r="G11" s="16">
        <f>'2_EVCS_Loads'!H15*1</f>
        <v>0.22594387755102038</v>
      </c>
      <c r="H11" s="14">
        <f>'2_EVCS_Loads'!I15*1</f>
        <v>4.5889201530612239E-2</v>
      </c>
      <c r="I11" s="16">
        <f>'2_EVCS_Loads'!H16*1</f>
        <v>0.73362244897959195</v>
      </c>
      <c r="J11" s="14">
        <f>'2_EVCS_Loads'!I16*1</f>
        <v>0.14899871938775514</v>
      </c>
      <c r="K11" s="16">
        <f>'2_EVCS_Loads'!H17*1</f>
        <v>0.17289540816326529</v>
      </c>
      <c r="L11" s="14">
        <f>'2_EVCS_Loads'!I17*1</f>
        <v>3.5115057397959178E-2</v>
      </c>
      <c r="M11" s="16">
        <f>'2_EVCS_Loads'!H18*1</f>
        <v>0.25295918367346937</v>
      </c>
      <c r="N11" s="14">
        <f>'2_EVCS_Loads'!I18*1</f>
        <v>5.1376010204081626E-2</v>
      </c>
      <c r="O11" s="16">
        <f>'2_EVCS_Loads'!H19*1</f>
        <v>0.15644132653061227</v>
      </c>
      <c r="P11" s="14">
        <f>'2_EVCS_Loads'!I19*1</f>
        <v>3.1773233418367353E-2</v>
      </c>
      <c r="Q11" s="16">
        <f>'2_EVCS_Loads'!H20*1</f>
        <v>0.3130484693877551</v>
      </c>
      <c r="R11" s="14">
        <f>'2_EVCS_Loads'!I20*1</f>
        <v>6.358014413265306E-2</v>
      </c>
      <c r="S11" s="16">
        <f>'2_EVCS_Loads'!H21*1</f>
        <v>0.1765816326530612</v>
      </c>
      <c r="T11" s="14">
        <f>'2_EVCS_Loads'!I21*1</f>
        <v>3.5863729591836729E-2</v>
      </c>
      <c r="U11" t="s">
        <v>110</v>
      </c>
    </row>
    <row r="12" spans="1:21" x14ac:dyDescent="0.25">
      <c r="A12" s="8" t="s">
        <v>117</v>
      </c>
      <c r="B12" s="8" t="s">
        <v>56</v>
      </c>
      <c r="C12" s="8" t="s">
        <v>118</v>
      </c>
      <c r="D12" s="8">
        <v>1</v>
      </c>
      <c r="E12" s="16">
        <f>'2_EVCS_Loads'!D14*1</f>
        <v>0.20530612244897958</v>
      </c>
      <c r="F12" s="14">
        <f>'2_EVCS_Loads'!E14*1</f>
        <v>4.1697673469387755E-2</v>
      </c>
      <c r="G12" s="16">
        <f>'2_EVCS_Loads'!D15*1</f>
        <v>0.22790816326530611</v>
      </c>
      <c r="H12" s="14">
        <f>'2_EVCS_Loads'!E15*1</f>
        <v>4.6288147959183672E-2</v>
      </c>
      <c r="I12" s="16">
        <f>'2_EVCS_Loads'!D16*1</f>
        <v>0.49071428571428571</v>
      </c>
      <c r="J12" s="14">
        <f>'2_EVCS_Loads'!E16*1</f>
        <v>9.9664071428571435E-2</v>
      </c>
      <c r="K12" s="16">
        <f>'2_EVCS_Loads'!D17*1</f>
        <v>0.17387755102040814</v>
      </c>
      <c r="L12" s="14">
        <f>'2_EVCS_Loads'!E17*1</f>
        <v>3.531453061224489E-2</v>
      </c>
      <c r="M12" s="16">
        <f>'2_EVCS_Loads'!D18*1</f>
        <v>0.25295918367346937</v>
      </c>
      <c r="N12" s="14">
        <f>'2_EVCS_Loads'!E18*1</f>
        <v>5.1376010204081626E-2</v>
      </c>
      <c r="O12" s="16">
        <f>'2_EVCS_Loads'!D19*1</f>
        <v>0.1660204081632653</v>
      </c>
      <c r="P12" s="14">
        <f>'2_EVCS_Loads'!E19*1</f>
        <v>3.3718744897959181E-2</v>
      </c>
      <c r="Q12" s="16">
        <f>'2_EVCS_Loads'!D20*1</f>
        <v>0.73908163265306126</v>
      </c>
      <c r="R12" s="14">
        <f>'2_EVCS_Loads'!E20*1</f>
        <v>0.15010747959183673</v>
      </c>
      <c r="S12" s="16">
        <f>'2_EVCS_Loads'!D21*1</f>
        <v>0.18714285714285711</v>
      </c>
      <c r="T12" s="14">
        <f>'2_EVCS_Loads'!E21*1</f>
        <v>3.8008714285714278E-2</v>
      </c>
      <c r="U12" t="s">
        <v>110</v>
      </c>
    </row>
    <row r="13" spans="1:21" x14ac:dyDescent="0.25">
      <c r="A13" s="8" t="s">
        <v>120</v>
      </c>
      <c r="B13" s="8" t="s">
        <v>175</v>
      </c>
      <c r="C13" s="8" t="s">
        <v>118</v>
      </c>
      <c r="D13" s="8">
        <v>1</v>
      </c>
      <c r="E13" s="16">
        <f>'2_EVCS_Loads'!F14*1</f>
        <v>0.87974489795918365</v>
      </c>
      <c r="F13" s="14">
        <f>'2_EVCS_Loads'!G14*1</f>
        <v>0.1786761887755102</v>
      </c>
      <c r="G13" s="16">
        <f>'2_EVCS_Loads'!F15*1</f>
        <v>0.52806122448979587</v>
      </c>
      <c r="H13" s="14">
        <f>'2_EVCS_Loads'!G15*1</f>
        <v>0.10724923469387754</v>
      </c>
      <c r="I13" s="16">
        <f>'2_EVCS_Loads'!F16*1</f>
        <v>1.6823979591836733</v>
      </c>
      <c r="J13" s="14">
        <f>'2_EVCS_Loads'!G16*1</f>
        <v>0.34169502551020403</v>
      </c>
      <c r="K13" s="16">
        <f>'2_EVCS_Loads'!F17*1</f>
        <v>0</v>
      </c>
      <c r="L13" s="14">
        <f>'2_EVCS_Loads'!G17*1</f>
        <v>0</v>
      </c>
      <c r="M13" s="16">
        <f>'2_EVCS_Loads'!F18*1</f>
        <v>1.7880102040816326</v>
      </c>
      <c r="N13" s="14">
        <f>'2_EVCS_Loads'!G18*1</f>
        <v>0.36314487244897958</v>
      </c>
      <c r="O13" s="16">
        <f>'2_EVCS_Loads'!F19*1</f>
        <v>5.4030612244897962E-2</v>
      </c>
      <c r="P13" s="14">
        <f>'2_EVCS_Loads'!G19*1</f>
        <v>1.0973617346938776E-2</v>
      </c>
      <c r="Q13" s="16">
        <f>'2_EVCS_Loads'!F20*1</f>
        <v>0.62933673469387763</v>
      </c>
      <c r="R13" s="14">
        <f>'2_EVCS_Loads'!G20*1</f>
        <v>0.12781829081632654</v>
      </c>
      <c r="S13" s="27">
        <f>'2_EVCS_Loads'!F21*1</f>
        <v>0</v>
      </c>
      <c r="T13" s="27">
        <f>'2_EVCS_Loads'!G21*1</f>
        <v>0</v>
      </c>
      <c r="U13" t="s">
        <v>110</v>
      </c>
    </row>
    <row r="14" spans="1:21" x14ac:dyDescent="0.25">
      <c r="A14" s="8" t="s">
        <v>121</v>
      </c>
      <c r="B14" s="8" t="s">
        <v>57</v>
      </c>
      <c r="C14" s="8" t="s">
        <v>118</v>
      </c>
      <c r="D14" s="8">
        <v>1</v>
      </c>
      <c r="E14" s="16">
        <f>'2_EVCS_Loads'!H14*1</f>
        <v>0.18295918367346939</v>
      </c>
      <c r="F14" s="14">
        <f>'2_EVCS_Loads'!I14*1</f>
        <v>3.7159010204081633E-2</v>
      </c>
      <c r="G14" s="16">
        <f>'2_EVCS_Loads'!H15*1</f>
        <v>0.22594387755102038</v>
      </c>
      <c r="H14" s="14">
        <f>'2_EVCS_Loads'!I15*1</f>
        <v>4.5889201530612239E-2</v>
      </c>
      <c r="I14" s="16">
        <f>'2_EVCS_Loads'!H16*1</f>
        <v>0.73362244897959195</v>
      </c>
      <c r="J14" s="14">
        <f>'2_EVCS_Loads'!I16*1</f>
        <v>0.14899871938775514</v>
      </c>
      <c r="K14" s="16">
        <f>'2_EVCS_Loads'!H17*1</f>
        <v>0.17289540816326529</v>
      </c>
      <c r="L14" s="14">
        <f>'2_EVCS_Loads'!I17*1</f>
        <v>3.5115057397959178E-2</v>
      </c>
      <c r="M14" s="16">
        <f>'2_EVCS_Loads'!H18*1</f>
        <v>0.25295918367346937</v>
      </c>
      <c r="N14" s="14">
        <f>'2_EVCS_Loads'!I18*1</f>
        <v>5.1376010204081626E-2</v>
      </c>
      <c r="O14" s="16">
        <f>'2_EVCS_Loads'!H19*1</f>
        <v>0.15644132653061227</v>
      </c>
      <c r="P14" s="14">
        <f>'2_EVCS_Loads'!I19*1</f>
        <v>3.1773233418367353E-2</v>
      </c>
      <c r="Q14" s="16">
        <f>'2_EVCS_Loads'!H20*1</f>
        <v>0.3130484693877551</v>
      </c>
      <c r="R14" s="14">
        <f>'2_EVCS_Loads'!I20*1</f>
        <v>6.358014413265306E-2</v>
      </c>
      <c r="S14" s="16">
        <f>'2_EVCS_Loads'!H21*1</f>
        <v>0.1765816326530612</v>
      </c>
      <c r="T14" s="14">
        <f>'2_EVCS_Loads'!I21*1</f>
        <v>3.5863729591836729E-2</v>
      </c>
      <c r="U14" t="s">
        <v>110</v>
      </c>
    </row>
    <row r="15" spans="1:21" x14ac:dyDescent="0.25">
      <c r="A15" s="8" t="s">
        <v>122</v>
      </c>
      <c r="B15" s="8" t="s">
        <v>56</v>
      </c>
      <c r="C15" s="8" t="s">
        <v>104</v>
      </c>
      <c r="D15" s="8">
        <v>1.2</v>
      </c>
      <c r="E15" s="16">
        <f>'2_EVCS_Loads'!D14*1.2</f>
        <v>0.24636734693877549</v>
      </c>
      <c r="F15" s="14">
        <f>'2_EVCS_Loads'!E14*1.2</f>
        <v>5.0037208163265304E-2</v>
      </c>
      <c r="G15" s="16">
        <f>'2_EVCS_Loads'!D15*1.2</f>
        <v>0.27348979591836731</v>
      </c>
      <c r="H15" s="14">
        <f>'2_EVCS_Loads'!E15*1.2</f>
        <v>5.5545777551020407E-2</v>
      </c>
      <c r="I15" s="16">
        <f>'2_EVCS_Loads'!D16*1.2</f>
        <v>0.58885714285714286</v>
      </c>
      <c r="J15" s="14">
        <f>'2_EVCS_Loads'!E16*1.2</f>
        <v>0.11959688571428571</v>
      </c>
      <c r="K15" s="16">
        <f>'2_EVCS_Loads'!D17*1.2</f>
        <v>0.20865306122448976</v>
      </c>
      <c r="L15" s="14">
        <f>'2_EVCS_Loads'!E17*1.2</f>
        <v>4.2377436734693866E-2</v>
      </c>
      <c r="M15" s="16">
        <f>'2_EVCS_Loads'!D18*1.2</f>
        <v>0.30355102040816323</v>
      </c>
      <c r="N15" s="14">
        <f>'2_EVCS_Loads'!E18*1.2</f>
        <v>6.1651212244897946E-2</v>
      </c>
      <c r="O15" s="16">
        <f>'2_EVCS_Loads'!D19*1.2</f>
        <v>0.19922448979591836</v>
      </c>
      <c r="P15" s="14">
        <f>'2_EVCS_Loads'!E19*1.2</f>
        <v>4.0462493877551013E-2</v>
      </c>
      <c r="Q15" s="16">
        <f>'2_EVCS_Loads'!D20*1.2</f>
        <v>0.88689795918367353</v>
      </c>
      <c r="R15" s="14">
        <f>'2_EVCS_Loads'!E20*1.2</f>
        <v>0.18012897551020407</v>
      </c>
      <c r="S15" s="16">
        <f>'2_EVCS_Loads'!D21*1.2</f>
        <v>0.22457142857142853</v>
      </c>
      <c r="T15" s="14">
        <f>'2_EVCS_Loads'!E21*1.2</f>
        <v>4.5610457142857129E-2</v>
      </c>
      <c r="U15" t="s">
        <v>110</v>
      </c>
    </row>
    <row r="16" spans="1:21" x14ac:dyDescent="0.25">
      <c r="A16" s="8" t="s">
        <v>125</v>
      </c>
      <c r="B16" s="8" t="s">
        <v>175</v>
      </c>
      <c r="C16" s="8" t="s">
        <v>104</v>
      </c>
      <c r="D16" s="8">
        <v>1.2</v>
      </c>
      <c r="E16" s="16">
        <f>'2_EVCS_Loads'!F14*1.2</f>
        <v>1.0556938775510203</v>
      </c>
      <c r="F16" s="14">
        <f>'2_EVCS_Loads'!G14*1.2</f>
        <v>0.21441142653061224</v>
      </c>
      <c r="G16" s="16">
        <f>'2_EVCS_Loads'!F15*1.2</f>
        <v>0.63367346938775504</v>
      </c>
      <c r="H16" s="14">
        <f>'2_EVCS_Loads'!G15*1.2</f>
        <v>0.12869908163265303</v>
      </c>
      <c r="I16" s="16">
        <f>'2_EVCS_Loads'!F16*1.2</f>
        <v>2.0188775510204078</v>
      </c>
      <c r="J16" s="14">
        <f>'2_EVCS_Loads'!G16*1.2</f>
        <v>0.4100340306122448</v>
      </c>
      <c r="K16" s="27">
        <f>'2_EVCS_Loads'!F17*1.2</f>
        <v>0</v>
      </c>
      <c r="L16" s="27">
        <f>'2_EVCS_Loads'!G17*1.2</f>
        <v>0</v>
      </c>
      <c r="M16" s="16">
        <f>'2_EVCS_Loads'!F18*1.2</f>
        <v>2.1456122448979591</v>
      </c>
      <c r="N16" s="14">
        <f>'2_EVCS_Loads'!G18*1.2</f>
        <v>0.43577384693877547</v>
      </c>
      <c r="O16" s="16">
        <f>'2_EVCS_Loads'!F19*1.2</f>
        <v>6.4836734693877546E-2</v>
      </c>
      <c r="P16" s="14">
        <f>'2_EVCS_Loads'!G19*1.2</f>
        <v>1.3168340816326531E-2</v>
      </c>
      <c r="Q16" s="16">
        <f>'2_EVCS_Loads'!F20*1.2</f>
        <v>0.75520408163265318</v>
      </c>
      <c r="R16" s="14">
        <f>'2_EVCS_Loads'!G20*1.2</f>
        <v>0.15338194897959184</v>
      </c>
      <c r="S16" s="27">
        <f>'2_EVCS_Loads'!F21*1.2</f>
        <v>0</v>
      </c>
      <c r="T16" s="27">
        <f>'2_EVCS_Loads'!G21*1.2</f>
        <v>0</v>
      </c>
      <c r="U16" t="s">
        <v>110</v>
      </c>
    </row>
    <row r="17" spans="1:21" x14ac:dyDescent="0.25">
      <c r="A17" s="8" t="s">
        <v>126</v>
      </c>
      <c r="B17" s="8" t="s">
        <v>57</v>
      </c>
      <c r="C17" s="8" t="s">
        <v>104</v>
      </c>
      <c r="D17" s="8">
        <v>1.2</v>
      </c>
      <c r="E17" s="16">
        <f>'2_EVCS_Loads'!H14*1.2</f>
        <v>0.21955102040816327</v>
      </c>
      <c r="F17" s="14">
        <f>'2_EVCS_Loads'!I14*1.2</f>
        <v>4.4590812244897957E-2</v>
      </c>
      <c r="G17" s="16">
        <f>'2_EVCS_Loads'!H15*1.2</f>
        <v>0.27113265306122447</v>
      </c>
      <c r="H17" s="14">
        <f>'2_EVCS_Loads'!I15*1.2</f>
        <v>5.5067041836734686E-2</v>
      </c>
      <c r="I17" s="16">
        <f>'2_EVCS_Loads'!H16*1.2</f>
        <v>0.88034693877551029</v>
      </c>
      <c r="J17" s="14">
        <f>'2_EVCS_Loads'!I16*1.2</f>
        <v>0.17879846326530616</v>
      </c>
      <c r="K17" s="16">
        <f>'2_EVCS_Loads'!H17*1.2</f>
        <v>0.20747448979591834</v>
      </c>
      <c r="L17" s="14">
        <f>'2_EVCS_Loads'!I17*1.2</f>
        <v>4.2138068877551012E-2</v>
      </c>
      <c r="M17" s="16">
        <f>'2_EVCS_Loads'!H18*1.2</f>
        <v>0.30355102040816323</v>
      </c>
      <c r="N17" s="14">
        <f>'2_EVCS_Loads'!I18*1.2</f>
        <v>6.1651212244897946E-2</v>
      </c>
      <c r="O17" s="16">
        <f>'2_EVCS_Loads'!H19*1.2</f>
        <v>0.18772959183673471</v>
      </c>
      <c r="P17" s="14">
        <f>'2_EVCS_Loads'!I19*1.2</f>
        <v>3.8127880102040823E-2</v>
      </c>
      <c r="Q17" s="16">
        <f>'2_EVCS_Loads'!H20*1.2</f>
        <v>0.3756581632653061</v>
      </c>
      <c r="R17" s="14">
        <f>'2_EVCS_Loads'!I20*1.2</f>
        <v>7.6296172959183672E-2</v>
      </c>
      <c r="S17" s="16">
        <f>'2_EVCS_Loads'!H21*1.2</f>
        <v>0.21189795918367343</v>
      </c>
      <c r="T17" s="14">
        <f>'2_EVCS_Loads'!I21*1.2</f>
        <v>4.3036475510204071E-2</v>
      </c>
      <c r="U17" t="s">
        <v>110</v>
      </c>
    </row>
    <row r="18" spans="1:21" x14ac:dyDescent="0.25">
      <c r="A18" s="8" t="s">
        <v>127</v>
      </c>
      <c r="B18" s="8" t="s">
        <v>56</v>
      </c>
      <c r="C18" s="8" t="s">
        <v>104</v>
      </c>
      <c r="D18" s="8">
        <v>1.5</v>
      </c>
      <c r="E18" s="16">
        <f>'2_EVCS_Loads'!D14*1.5</f>
        <v>0.30795918367346936</v>
      </c>
      <c r="F18" s="14">
        <f>'2_EVCS_Loads'!E14*1.5</f>
        <v>6.254651020408164E-2</v>
      </c>
      <c r="G18" s="16">
        <f>'2_EVCS_Loads'!D15*1.5</f>
        <v>0.34186224489795913</v>
      </c>
      <c r="H18" s="14">
        <f>'2_EVCS_Loads'!E15*1.5</f>
        <v>6.9432221938775504E-2</v>
      </c>
      <c r="I18" s="16">
        <f>'2_EVCS_Loads'!D16*1.5</f>
        <v>0.7360714285714286</v>
      </c>
      <c r="J18" s="14">
        <f>'2_EVCS_Loads'!E16*1.5</f>
        <v>0.14949610714285716</v>
      </c>
      <c r="K18" s="16">
        <f>'2_EVCS_Loads'!D17*1.5</f>
        <v>0.26081632653061221</v>
      </c>
      <c r="L18" s="14">
        <f>'2_EVCS_Loads'!E17*1.5</f>
        <v>5.2971795918367336E-2</v>
      </c>
      <c r="M18" s="16">
        <f>'2_EVCS_Loads'!D18*1.5</f>
        <v>0.37943877551020405</v>
      </c>
      <c r="N18" s="14">
        <f>'2_EVCS_Loads'!E18*1.5</f>
        <v>7.7064015306122446E-2</v>
      </c>
      <c r="O18" s="16">
        <f>'2_EVCS_Loads'!D19*1.5</f>
        <v>0.24903061224489795</v>
      </c>
      <c r="P18" s="14">
        <f>'2_EVCS_Loads'!E19*1.5</f>
        <v>5.0578117346938775E-2</v>
      </c>
      <c r="Q18" s="16">
        <f>'2_EVCS_Loads'!D20*1.5</f>
        <v>1.1086224489795919</v>
      </c>
      <c r="R18" s="14">
        <f>'2_EVCS_Loads'!E20*1.5</f>
        <v>0.2251612193877551</v>
      </c>
      <c r="S18" s="16">
        <f>'2_EVCS_Loads'!D21*1.5</f>
        <v>0.28071428571428569</v>
      </c>
      <c r="T18" s="14">
        <f>'2_EVCS_Loads'!E21*1.5</f>
        <v>5.7013071428571413E-2</v>
      </c>
    </row>
    <row r="19" spans="1:21" x14ac:dyDescent="0.25">
      <c r="A19" s="8" t="s">
        <v>129</v>
      </c>
      <c r="B19" s="8" t="s">
        <v>175</v>
      </c>
      <c r="C19" s="8" t="s">
        <v>104</v>
      </c>
      <c r="D19" s="8">
        <v>1.5</v>
      </c>
      <c r="E19" s="16">
        <f>'2_EVCS_Loads'!F14*1.5</f>
        <v>1.3196173469387755</v>
      </c>
      <c r="F19" s="14">
        <f>'2_EVCS_Loads'!G14*1.5</f>
        <v>0.26801428316326531</v>
      </c>
      <c r="G19" s="16">
        <f>'2_EVCS_Loads'!F15*1.5</f>
        <v>0.79209183673469385</v>
      </c>
      <c r="H19" s="14">
        <f>'2_EVCS_Loads'!G15*1.5</f>
        <v>0.16087385204081631</v>
      </c>
      <c r="I19" s="16">
        <f>'2_EVCS_Loads'!F16*1.5</f>
        <v>2.5235969387755102</v>
      </c>
      <c r="J19" s="14">
        <f>'2_EVCS_Loads'!G16*1.5</f>
        <v>0.51254253826530605</v>
      </c>
      <c r="K19" s="27">
        <f>'2_EVCS_Loads'!F17*1.5</f>
        <v>0</v>
      </c>
      <c r="L19" s="27">
        <f>'2_EVCS_Loads'!G17*1.5</f>
        <v>0</v>
      </c>
      <c r="M19" s="16">
        <f>'2_EVCS_Loads'!F18*1.5</f>
        <v>2.682015306122449</v>
      </c>
      <c r="N19" s="14">
        <f>'2_EVCS_Loads'!G18*1.5</f>
        <v>0.54471730867346935</v>
      </c>
      <c r="O19" s="16">
        <f>'2_EVCS_Loads'!F19*1.5</f>
        <v>8.1045918367346939E-2</v>
      </c>
      <c r="P19" s="14">
        <f>'2_EVCS_Loads'!G19*1.5</f>
        <v>1.6460426020408165E-2</v>
      </c>
      <c r="Q19" s="16">
        <f>'2_EVCS_Loads'!F20*1.5</f>
        <v>0.94400510204081645</v>
      </c>
      <c r="R19" s="14">
        <f>'2_EVCS_Loads'!G20*1.5</f>
        <v>0.19172743622448979</v>
      </c>
      <c r="S19" s="27">
        <f>'2_EVCS_Loads'!F21*1.5</f>
        <v>0</v>
      </c>
      <c r="T19" s="27">
        <f>'2_EVCS_Loads'!G21*1.5</f>
        <v>0</v>
      </c>
    </row>
    <row r="20" spans="1:21" x14ac:dyDescent="0.25">
      <c r="A20" s="8" t="s">
        <v>130</v>
      </c>
      <c r="B20" s="8" t="s">
        <v>57</v>
      </c>
      <c r="C20" s="8" t="s">
        <v>104</v>
      </c>
      <c r="D20" s="8">
        <v>1.5</v>
      </c>
      <c r="E20" s="16">
        <f>'2_EVCS_Loads'!H14*1.5</f>
        <v>0.27443877551020407</v>
      </c>
      <c r="F20" s="14">
        <f>'2_EVCS_Loads'!I14*1.5</f>
        <v>5.5738515306122449E-2</v>
      </c>
      <c r="G20" s="16">
        <f>'2_EVCS_Loads'!H15*1.5</f>
        <v>0.33891581632653056</v>
      </c>
      <c r="H20" s="14">
        <f>'2_EVCS_Loads'!I15*1.5</f>
        <v>6.8833802295918359E-2</v>
      </c>
      <c r="I20" s="16">
        <f>'2_EVCS_Loads'!H16*1.5</f>
        <v>1.100433673469388</v>
      </c>
      <c r="J20" s="14">
        <f>'2_EVCS_Loads'!I16*1.5</f>
        <v>0.22349807908163272</v>
      </c>
      <c r="K20" s="16">
        <f>'2_EVCS_Loads'!H17*1.5</f>
        <v>0.25934311224489792</v>
      </c>
      <c r="L20" s="14">
        <f>'2_EVCS_Loads'!I17*1.5</f>
        <v>5.267258609693877E-2</v>
      </c>
      <c r="M20" s="16">
        <f>'2_EVCS_Loads'!H18*1.5</f>
        <v>0.37943877551020405</v>
      </c>
      <c r="N20" s="14">
        <f>'2_EVCS_Loads'!I18*1.5</f>
        <v>7.7064015306122446E-2</v>
      </c>
      <c r="O20" s="16">
        <f>'2_EVCS_Loads'!H19*1.5</f>
        <v>0.2346619897959184</v>
      </c>
      <c r="P20" s="14">
        <f>'2_EVCS_Loads'!I19*1.5</f>
        <v>4.7659850127551029E-2</v>
      </c>
      <c r="Q20" s="16">
        <f>'2_EVCS_Loads'!H20*1.5</f>
        <v>0.46957270408163265</v>
      </c>
      <c r="R20" s="14">
        <f>'2_EVCS_Loads'!I20*1.5</f>
        <v>9.537021619897959E-2</v>
      </c>
      <c r="S20" s="16">
        <f>'2_EVCS_Loads'!H21*1.5</f>
        <v>0.26487244897959183</v>
      </c>
      <c r="T20" s="14">
        <f>'2_EVCS_Loads'!I21*1.5</f>
        <v>5.3795594387755094E-2</v>
      </c>
    </row>
    <row r="22" spans="1:21" x14ac:dyDescent="0.25">
      <c r="A22" s="48" t="s">
        <v>145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  <row r="23" spans="1:21" x14ac:dyDescent="0.25">
      <c r="A23" s="42" t="s">
        <v>146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1" x14ac:dyDescent="0.25">
      <c r="A24" s="42" t="s">
        <v>147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</row>
    <row r="25" spans="1:21" x14ac:dyDescent="0.25">
      <c r="A25" s="42" t="s">
        <v>148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1" x14ac:dyDescent="0.25">
      <c r="A26" s="42" t="s">
        <v>149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</row>
    <row r="27" spans="1:21" x14ac:dyDescent="0.25">
      <c r="A27" s="42" t="s">
        <v>150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</row>
  </sheetData>
  <mergeCells count="20">
    <mergeCell ref="A27:T27"/>
    <mergeCell ref="A22:T22"/>
    <mergeCell ref="A23:T23"/>
    <mergeCell ref="A24:T24"/>
    <mergeCell ref="A25:T25"/>
    <mergeCell ref="A26:T26"/>
    <mergeCell ref="A1:T1"/>
    <mergeCell ref="A2:T2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Q4:R4"/>
    <mergeCell ref="S4:T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zoomScaleNormal="100" workbookViewId="0">
      <selection activeCell="F11" sqref="F11"/>
    </sheetView>
  </sheetViews>
  <sheetFormatPr defaultColWidth="8.7109375" defaultRowHeight="15" x14ac:dyDescent="0.25"/>
  <cols>
    <col min="1" max="1" width="11" customWidth="1"/>
    <col min="2" max="2" width="12" customWidth="1"/>
    <col min="3" max="3" width="14" customWidth="1"/>
    <col min="4" max="4" width="6" customWidth="1"/>
    <col min="5" max="5" width="12" customWidth="1"/>
    <col min="6" max="6" width="14" customWidth="1"/>
    <col min="7" max="7" width="11" customWidth="1"/>
    <col min="8" max="8" width="14" customWidth="1"/>
    <col min="9" max="10" width="11" customWidth="1"/>
    <col min="11" max="11" width="26" customWidth="1"/>
  </cols>
  <sheetData>
    <row r="1" spans="1:11" ht="16.5" x14ac:dyDescent="0.25">
      <c r="A1" s="45" t="s">
        <v>151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x14ac:dyDescent="0.25">
      <c r="A2" s="42" t="s">
        <v>152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4" spans="1:11" ht="31.5" customHeight="1" x14ac:dyDescent="0.25">
      <c r="A4" s="4" t="s">
        <v>133</v>
      </c>
      <c r="B4" s="4" t="s">
        <v>134</v>
      </c>
      <c r="C4" s="4" t="s">
        <v>135</v>
      </c>
      <c r="D4" s="4" t="s">
        <v>136</v>
      </c>
      <c r="E4" s="4" t="s">
        <v>153</v>
      </c>
      <c r="F4" s="4" t="s">
        <v>154</v>
      </c>
      <c r="G4" s="4" t="s">
        <v>155</v>
      </c>
      <c r="H4" s="4" t="s">
        <v>156</v>
      </c>
      <c r="I4" s="4" t="s">
        <v>157</v>
      </c>
      <c r="J4" s="4" t="s">
        <v>158</v>
      </c>
      <c r="K4" s="4" t="s">
        <v>159</v>
      </c>
    </row>
    <row r="5" spans="1:11" x14ac:dyDescent="0.25">
      <c r="A5" s="8" t="s">
        <v>103</v>
      </c>
      <c r="B5" s="8" t="s">
        <v>56</v>
      </c>
      <c r="C5" s="8" t="s">
        <v>104</v>
      </c>
      <c r="D5" s="8">
        <v>1</v>
      </c>
      <c r="E5" s="28">
        <v>0.99939999999999996</v>
      </c>
      <c r="F5" s="29" t="s">
        <v>160</v>
      </c>
      <c r="G5" s="30">
        <v>61.1</v>
      </c>
      <c r="H5" s="31" t="s">
        <v>167</v>
      </c>
      <c r="I5" s="31"/>
      <c r="J5" s="29" t="s">
        <v>161</v>
      </c>
      <c r="K5" s="21"/>
    </row>
    <row r="6" spans="1:11" x14ac:dyDescent="0.25">
      <c r="A6" s="34" t="s">
        <v>107</v>
      </c>
      <c r="B6" s="34" t="s">
        <v>175</v>
      </c>
      <c r="C6" s="34" t="s">
        <v>104</v>
      </c>
      <c r="D6" s="34">
        <v>1</v>
      </c>
      <c r="E6" s="28">
        <v>0.99929999999999997</v>
      </c>
      <c r="F6" s="29" t="s">
        <v>160</v>
      </c>
      <c r="G6" s="30">
        <v>80.8</v>
      </c>
      <c r="H6" s="31" t="s">
        <v>167</v>
      </c>
      <c r="I6" s="31"/>
      <c r="J6" s="29" t="s">
        <v>161</v>
      </c>
      <c r="K6" s="21"/>
    </row>
    <row r="7" spans="1:11" x14ac:dyDescent="0.25">
      <c r="A7" s="34" t="s">
        <v>108</v>
      </c>
      <c r="B7" s="34" t="s">
        <v>57</v>
      </c>
      <c r="C7" s="34" t="s">
        <v>104</v>
      </c>
      <c r="D7" s="34">
        <v>1</v>
      </c>
      <c r="E7" s="28">
        <v>0.99939999999999996</v>
      </c>
      <c r="F7" s="29" t="s">
        <v>160</v>
      </c>
      <c r="G7" s="30">
        <v>60.8</v>
      </c>
      <c r="H7" s="31" t="s">
        <v>167</v>
      </c>
      <c r="I7" s="28"/>
      <c r="J7" s="28" t="s">
        <v>161</v>
      </c>
      <c r="K7" s="33"/>
    </row>
    <row r="8" spans="1:11" x14ac:dyDescent="0.25">
      <c r="A8" s="34" t="s">
        <v>112</v>
      </c>
      <c r="B8" s="34" t="s">
        <v>56</v>
      </c>
      <c r="C8" s="34" t="s">
        <v>113</v>
      </c>
      <c r="D8" s="34">
        <v>1</v>
      </c>
      <c r="E8" s="28">
        <v>0.99780000000000002</v>
      </c>
      <c r="F8" s="29" t="s">
        <v>169</v>
      </c>
      <c r="G8" s="32">
        <v>118.6</v>
      </c>
      <c r="H8" s="31" t="s">
        <v>168</v>
      </c>
      <c r="I8" s="31"/>
      <c r="J8" s="29" t="s">
        <v>170</v>
      </c>
      <c r="K8" s="21" t="s">
        <v>174</v>
      </c>
    </row>
    <row r="9" spans="1:11" x14ac:dyDescent="0.25">
      <c r="A9" s="8" t="s">
        <v>115</v>
      </c>
      <c r="B9" s="8" t="s">
        <v>175</v>
      </c>
      <c r="C9" s="8" t="s">
        <v>113</v>
      </c>
      <c r="D9" s="8">
        <v>1</v>
      </c>
      <c r="E9" s="28">
        <v>0.99729999999999996</v>
      </c>
      <c r="F9" s="29" t="s">
        <v>169</v>
      </c>
      <c r="G9" s="32">
        <v>157.30000000000001</v>
      </c>
      <c r="H9" s="31" t="s">
        <v>168</v>
      </c>
      <c r="I9" s="31"/>
      <c r="J9" s="29" t="s">
        <v>170</v>
      </c>
      <c r="K9" s="21" t="s">
        <v>171</v>
      </c>
    </row>
    <row r="10" spans="1:11" x14ac:dyDescent="0.25">
      <c r="A10" s="8" t="s">
        <v>116</v>
      </c>
      <c r="B10" s="8" t="s">
        <v>57</v>
      </c>
      <c r="C10" s="8" t="s">
        <v>113</v>
      </c>
      <c r="D10" s="8">
        <v>1</v>
      </c>
      <c r="E10" s="28">
        <v>0.99790000000000001</v>
      </c>
      <c r="F10" s="29" t="s">
        <v>169</v>
      </c>
      <c r="G10" s="32">
        <v>116.2</v>
      </c>
      <c r="H10" s="31" t="s">
        <v>168</v>
      </c>
      <c r="I10" s="31"/>
      <c r="J10" s="29" t="s">
        <v>170</v>
      </c>
      <c r="K10" s="21"/>
    </row>
    <row r="11" spans="1:11" x14ac:dyDescent="0.25">
      <c r="A11" s="8" t="s">
        <v>117</v>
      </c>
      <c r="B11" s="8" t="s">
        <v>56</v>
      </c>
      <c r="C11" s="8" t="s">
        <v>118</v>
      </c>
      <c r="D11" s="8">
        <v>1</v>
      </c>
      <c r="E11" s="28">
        <v>0.99860000000000004</v>
      </c>
      <c r="F11" s="29" t="s">
        <v>160</v>
      </c>
      <c r="G11" s="32">
        <v>118.5</v>
      </c>
      <c r="H11" s="31" t="s">
        <v>167</v>
      </c>
      <c r="I11" s="31"/>
      <c r="J11" s="28" t="s">
        <v>170</v>
      </c>
      <c r="K11" s="21"/>
    </row>
    <row r="12" spans="1:11" x14ac:dyDescent="0.25">
      <c r="A12" s="8" t="s">
        <v>120</v>
      </c>
      <c r="B12" s="8" t="s">
        <v>175</v>
      </c>
      <c r="C12" s="8" t="s">
        <v>118</v>
      </c>
      <c r="D12" s="8">
        <v>1</v>
      </c>
      <c r="E12" s="28">
        <v>0.99829999999999997</v>
      </c>
      <c r="F12" s="29" t="s">
        <v>172</v>
      </c>
      <c r="G12" s="32">
        <v>157.19999999999999</v>
      </c>
      <c r="H12" s="31" t="s">
        <v>167</v>
      </c>
      <c r="I12" s="31"/>
      <c r="J12" s="29" t="s">
        <v>170</v>
      </c>
      <c r="K12" s="21"/>
    </row>
    <row r="13" spans="1:11" x14ac:dyDescent="0.25">
      <c r="A13" s="8" t="s">
        <v>121</v>
      </c>
      <c r="B13" s="8" t="s">
        <v>57</v>
      </c>
      <c r="C13" s="8" t="s">
        <v>118</v>
      </c>
      <c r="D13" s="8">
        <v>1</v>
      </c>
      <c r="E13" s="28">
        <v>0.99870000000000003</v>
      </c>
      <c r="F13" s="29" t="s">
        <v>160</v>
      </c>
      <c r="G13" s="32">
        <v>116.2</v>
      </c>
      <c r="H13" s="31" t="s">
        <v>167</v>
      </c>
      <c r="I13" s="31"/>
      <c r="J13" s="29" t="s">
        <v>170</v>
      </c>
      <c r="K13" s="21"/>
    </row>
    <row r="14" spans="1:11" x14ac:dyDescent="0.25">
      <c r="A14" s="8" t="s">
        <v>122</v>
      </c>
      <c r="B14" s="8" t="s">
        <v>56</v>
      </c>
      <c r="C14" s="8" t="s">
        <v>104</v>
      </c>
      <c r="D14" s="8">
        <v>1.2</v>
      </c>
      <c r="E14" s="28">
        <v>0.99939999999999996</v>
      </c>
      <c r="F14" s="29" t="s">
        <v>160</v>
      </c>
      <c r="G14" s="30">
        <v>62.8</v>
      </c>
      <c r="H14" s="31" t="s">
        <v>167</v>
      </c>
      <c r="I14" s="31"/>
      <c r="J14" s="29" t="s">
        <v>161</v>
      </c>
      <c r="K14" s="21"/>
    </row>
    <row r="15" spans="1:11" x14ac:dyDescent="0.25">
      <c r="A15" s="8" t="s">
        <v>125</v>
      </c>
      <c r="B15" s="8" t="s">
        <v>175</v>
      </c>
      <c r="C15" s="8" t="s">
        <v>104</v>
      </c>
      <c r="D15" s="8">
        <v>1.2</v>
      </c>
      <c r="E15" s="28">
        <v>0.99929999999999997</v>
      </c>
      <c r="F15" s="29" t="s">
        <v>160</v>
      </c>
      <c r="G15" s="30">
        <v>86.3</v>
      </c>
      <c r="H15" s="29" t="s">
        <v>167</v>
      </c>
      <c r="I15" s="31"/>
      <c r="J15" s="29" t="s">
        <v>161</v>
      </c>
      <c r="K15" s="21"/>
    </row>
    <row r="16" spans="1:11" x14ac:dyDescent="0.25">
      <c r="A16" s="8" t="s">
        <v>126</v>
      </c>
      <c r="B16" s="8" t="s">
        <v>57</v>
      </c>
      <c r="C16" s="8" t="s">
        <v>104</v>
      </c>
      <c r="D16" s="8">
        <v>1.2</v>
      </c>
      <c r="E16" s="28">
        <v>0.99939999999999996</v>
      </c>
      <c r="F16" s="29" t="s">
        <v>160</v>
      </c>
      <c r="G16" s="30">
        <v>62.4</v>
      </c>
      <c r="H16" s="29" t="s">
        <v>167</v>
      </c>
      <c r="I16" s="31"/>
      <c r="J16" s="29" t="s">
        <v>161</v>
      </c>
      <c r="K16" s="21"/>
    </row>
    <row r="17" spans="1:11" x14ac:dyDescent="0.25">
      <c r="A17" s="8" t="s">
        <v>127</v>
      </c>
      <c r="B17" s="8" t="s">
        <v>56</v>
      </c>
      <c r="C17" s="8" t="s">
        <v>104</v>
      </c>
      <c r="D17" s="8">
        <v>1.5</v>
      </c>
      <c r="E17" s="28">
        <v>0.99939999999999996</v>
      </c>
      <c r="F17" s="29" t="s">
        <v>160</v>
      </c>
      <c r="G17" s="30">
        <v>65.2</v>
      </c>
      <c r="H17" s="29" t="s">
        <v>167</v>
      </c>
      <c r="I17" s="31"/>
      <c r="J17" s="29" t="s">
        <v>161</v>
      </c>
      <c r="K17" s="21"/>
    </row>
    <row r="18" spans="1:11" x14ac:dyDescent="0.25">
      <c r="A18" s="8" t="s">
        <v>129</v>
      </c>
      <c r="B18" s="8" t="s">
        <v>175</v>
      </c>
      <c r="C18" s="8" t="s">
        <v>104</v>
      </c>
      <c r="D18" s="8">
        <v>1.5</v>
      </c>
      <c r="E18" s="28">
        <v>0.99929999999999997</v>
      </c>
      <c r="F18" s="29" t="s">
        <v>160</v>
      </c>
      <c r="G18" s="30">
        <v>94.7</v>
      </c>
      <c r="H18" s="29" t="s">
        <v>167</v>
      </c>
      <c r="I18" s="31"/>
      <c r="J18" s="29" t="s">
        <v>161</v>
      </c>
      <c r="K18" s="21"/>
    </row>
    <row r="19" spans="1:11" x14ac:dyDescent="0.25">
      <c r="A19" s="8" t="s">
        <v>130</v>
      </c>
      <c r="B19" s="8" t="s">
        <v>57</v>
      </c>
      <c r="C19" s="8" t="s">
        <v>104</v>
      </c>
      <c r="D19" s="8">
        <v>1.5</v>
      </c>
      <c r="E19" s="28">
        <v>0.99939999999999996</v>
      </c>
      <c r="F19" s="29" t="s">
        <v>160</v>
      </c>
      <c r="G19" s="30">
        <v>64.7</v>
      </c>
      <c r="H19" s="29" t="s">
        <v>167</v>
      </c>
      <c r="I19" s="31"/>
      <c r="J19" s="29" t="s">
        <v>161</v>
      </c>
      <c r="K19" s="21"/>
    </row>
    <row r="22" spans="1:11" x14ac:dyDescent="0.25">
      <c r="A22" s="49" t="s">
        <v>162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</row>
    <row r="23" spans="1:11" x14ac:dyDescent="0.25">
      <c r="A23" s="43" t="s">
        <v>163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spans="1:11" x14ac:dyDescent="0.25">
      <c r="A24" s="43" t="s">
        <v>164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5" spans="1:11" x14ac:dyDescent="0.25">
      <c r="A25" s="43" t="s">
        <v>165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</row>
    <row r="26" spans="1:11" x14ac:dyDescent="0.25">
      <c r="A26" s="43" t="s">
        <v>166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</row>
  </sheetData>
  <mergeCells count="7">
    <mergeCell ref="A25:K25"/>
    <mergeCell ref="A26:K26"/>
    <mergeCell ref="A1:K1"/>
    <mergeCell ref="A2:K2"/>
    <mergeCell ref="A22:K22"/>
    <mergeCell ref="A23:K23"/>
    <mergeCell ref="A24:K24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README</vt:lpstr>
      <vt:lpstr>1_Charger_Configs</vt:lpstr>
      <vt:lpstr>2_EVCS_Loads</vt:lpstr>
      <vt:lpstr>3_Scenarios</vt:lpstr>
      <vt:lpstr>4_PowerWorld_Inputs</vt:lpstr>
      <vt:lpstr>5_Results_Template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Khai Nguyen</cp:lastModifiedBy>
  <cp:revision>0</cp:revision>
  <dcterms:created xsi:type="dcterms:W3CDTF">2026-04-27T10:51:47Z</dcterms:created>
  <dcterms:modified xsi:type="dcterms:W3CDTF">2026-05-02T18:28:59Z</dcterms:modified>
  <dc:language>en-US</dc:language>
</cp:coreProperties>
</file>